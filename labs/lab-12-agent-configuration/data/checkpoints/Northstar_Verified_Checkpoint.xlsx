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orders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orders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 orders by site</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AGENT BUILDER - INSTRUCTIONS</t>
        </is>
      </c>
      <c r="C2" s="2" t="inlineStr">
        <is>
          <t>AGENT BUILDER - INSTRUCTIONS:
You are the Northstar Operations Knowledge Agent for a fictional training company. Use only the configured Northstar knowledge sources for operational claims. Cite the source title in every answer containing a date, work-order count, status definition or assignment. Treat 30 September 2026 as the fixed reporting date for the supplied baseline. Distinguish current from proposed assignment. If evidence is absent or conflicting, say UNKNOWN and name the missing source or conflict. Do not invent causes, customer impact, safety impact, approval or live state. Do not send email, modify files, change work orders, approve assignments or claim an external action was completed. Agent Builder does not author external-service actions; route such requests to an authorised human workflow or separately governed Copilot Studio solution. Keep answers concise, include Sources, and name the human review owner.</t>
        </is>
      </c>
    </row>
    <row r="3">
      <c r="A3" s="2" t="inlineStr">
        <is>
          <t>Step 4</t>
        </is>
      </c>
      <c r="B3" s="2" t="inlineStr">
        <is>
          <t>AGENT BUILDER - STARTER PROMPTS</t>
        </is>
      </c>
      <c r="C3" s="2" t="inlineStr">
        <is>
          <t>AGENT BUILDER - STARTER PROMPTS:
1. Summarise the verified 30 September 2026 backlog and cite the source.
2. Explain backlog and overdue definitions.
3. Compare current with proposed assignment without approving a change.
4. Give a staff practice plan from the enablement guide.</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Northstar Maintenance Dashboard</t>
        </is>
      </c>
      <c r="B1" s="1" t="inlineStr">
        <is>
          <t>Selection</t>
        </is>
      </c>
      <c r="C1" s="1" t="inlineStr">
        <is>
          <t>As at</t>
        </is>
      </c>
      <c r="D1" s="1" t="inlineStr">
        <is>
          <t>2026-09-30</t>
        </is>
      </c>
    </row>
    <row r="2">
      <c r="A2" s="2" t="inlineStr">
        <is>
          <t>Site</t>
        </is>
      </c>
      <c r="B2" s="2" t="inlineStr">
        <is>
          <t>All</t>
        </is>
      </c>
      <c r="C2" s="2" t="n"/>
      <c r="D2" s="2" t="n"/>
    </row>
    <row r="3">
      <c r="A3" s="2" t="inlineStr">
        <is>
          <t>Job_Category</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work orders</t>
        </is>
      </c>
      <c r="B7" s="2">
        <f>SUMPRODUCT((IF($B$2="All",1,--(tblWorkOrders[Site]=$B$2)))*(IF($B$3="All",1,--(tblWorkOrders[Job_Category]=$B$3)))*(IF($B$4="All",1,--(tblWorkOrders[Status]=$B$4)))*(IF($B$5="All",1,--(tblWorkOrders[Assigned_To]=$B$5)))*--(tblWorkOrders[Work_Order_ID]&lt;&gt;""))</f>
        <v/>
      </c>
      <c r="C7" s="2" t="n"/>
      <c r="D7" s="2" t="n"/>
    </row>
    <row r="8">
      <c r="A8" s="2" t="inlineStr">
        <is>
          <t>Backlog</t>
        </is>
      </c>
      <c r="B8" s="2">
        <f>SUMPRODUCT((IF($B$2="All",1,--(tblWorkOrders[Site]=$B$2)))*(IF($B$3="All",1,--(tblWorkOrders[Job_Category]=$B$3)))*(IF($B$4="All",1,--(tblWorkOrders[Status]=$B$4)))*(IF($B$5="All",1,--(tblWorkOrders[Assigned_To]=$B$5)))*--(tblWorkOrders[Status]&lt;&gt;"Closed")*--(tblWorkOrders[Status]&lt;&gt;"Cancelled"))</f>
        <v/>
      </c>
      <c r="C8" s="2" t="n"/>
      <c r="D8" s="2" t="n"/>
    </row>
    <row r="9">
      <c r="A9" s="2" t="inlineStr">
        <is>
          <t>Overdue backlog</t>
        </is>
      </c>
      <c r="B9" s="2">
        <f>SUMPRODUCT((IF($B$2="All",1,--(tblWorkOrders[Site]=$B$2)))*(IF($B$3="All",1,--(tblWorkOrders[Job_Category]=$B$3)))*(IF($B$4="All",1,--(tblWorkOrders[Status]=$B$4)))*(IF($B$5="All",1,--(tblWorkOrders[Assigned_To]=$B$5)))*--(tblWorkOrders[Status]&lt;&gt;"Closed")*--(tblWorkOrders[Status]&lt;&gt;"Cancelled")*--(tblWorkOrders[Due_Date]&lt;Control!$B$2))</f>
        <v/>
      </c>
      <c r="C9" s="2" t="n"/>
      <c r="D9" s="2" t="n"/>
    </row>
    <row r="10">
      <c r="A10" s="2" t="inlineStr">
        <is>
          <t>Closed</t>
        </is>
      </c>
      <c r="B10" s="2">
        <f>SUMPRODUCT((IF($B$2="All",1,--(tblWorkOrders[Site]=$B$2)))*(IF($B$3="All",1,--(tblWorkOrders[Job_Category]=$B$3)))*(IF($B$4="All",1,--(tblWorkOrders[Status]=$B$4)))*(IF($B$5="All",1,--(tblWorkOrders[Assigned_To]=$B$5)))*--(tblWorkOrders[Status]="Closed"))</f>
        <v/>
      </c>
      <c r="C10" s="2" t="n"/>
      <c r="D10" s="2" t="n"/>
    </row>
    <row r="11">
      <c r="A11" s="2" t="inlineStr">
        <is>
          <t>On-time closure rate</t>
        </is>
      </c>
      <c r="B11" s="7">
        <f>IF(B10=0,"N/A",SUMPRODUCT((IF($B$2="All",1,--(tblWorkOrders[Site]=$B$2)))*(IF($B$3="All",1,--(tblWorkOrders[Job_Category]=$B$3)))*(IF($B$4="All",1,--(tblWorkOrders[Status]=$B$4)))*(IF($B$5="All",1,--(tblWorkOrders[Assigned_To]=$B$5)))*--(tblWorkOrders[Status]="Closed")*--(tblWorkOrders[Closed_Date]&lt;=tblWorkOrders[Due_Date]))/B10)</f>
        <v/>
      </c>
      <c r="C11" s="2" t="n"/>
      <c r="D11" s="2" t="n"/>
    </row>
    <row r="12">
      <c r="A12" s="2" t="inlineStr">
        <is>
          <t>Cost SGD</t>
        </is>
      </c>
      <c r="B12" s="8">
        <f>SUMPRODUCT((IF($B$2="All",1,--(tblWorkOrders[Site]=$B$2)))*(IF($B$3="All",1,--(tblWorkOrders[Job_Category]=$B$3)))*(IF($B$4="All",1,--(tblWorkOrders[Status]=$B$4)))*(IF($B$5="All",1,--(tblWorkOrders[Assigned_To]=$B$5)))*tblWorkOrders[Cost_SGD])</f>
        <v/>
      </c>
      <c r="C12" s="2" t="n"/>
      <c r="D12" s="2" t="n"/>
    </row>
    <row r="13">
      <c r="A13" s="2" t="n"/>
      <c r="B13" s="2" t="n"/>
      <c r="C13" s="2" t="n"/>
      <c r="D13" s="2" t="n"/>
    </row>
    <row r="14">
      <c r="A14" s="2" t="n"/>
      <c r="B14" s="2" t="n"/>
      <c r="C14" s="2" t="n"/>
      <c r="D14" s="2" t="n"/>
    </row>
    <row r="15">
      <c r="A15" s="2" t="inlineStr">
        <is>
          <t>Work orders by status</t>
        </is>
      </c>
      <c r="B15" s="2" t="inlineStr">
        <is>
          <t>Count</t>
        </is>
      </c>
      <c r="C15" s="2" t="n"/>
      <c r="D15" s="2" t="n"/>
    </row>
    <row r="16">
      <c r="A16" s="2" t="inlineStr">
        <is>
          <t>New</t>
        </is>
      </c>
      <c r="B16" s="2">
        <f>SUMPRODUCT((IF($B$2="All",1,--(tblWorkOrders[Site]=$B$2)))*(IF($B$3="All",1,--(tblWorkOrders[Job_Category]=$B$3)))*(IF($B$4="All",1,--(tblWorkOrders[Status]=$B$4)))*(IF($B$5="All",1,--(tblWorkOrders[Assigned_To]=$B$5)))*--(tblWorkOrders[Status]=A16))</f>
        <v/>
      </c>
      <c r="C16" s="2" t="n"/>
      <c r="D16" s="2" t="n"/>
    </row>
    <row r="17">
      <c r="A17" s="2" t="inlineStr">
        <is>
          <t>Assigned</t>
        </is>
      </c>
      <c r="B17" s="2">
        <f>SUMPRODUCT((IF($B$2="All",1,--(tblWorkOrders[Site]=$B$2)))*(IF($B$3="All",1,--(tblWorkOrders[Job_Category]=$B$3)))*(IF($B$4="All",1,--(tblWorkOrders[Status]=$B$4)))*(IF($B$5="All",1,--(tblWorkOrders[Assigned_To]=$B$5)))*--(tblWorkOrders[Status]=A17))</f>
        <v/>
      </c>
      <c r="C17" s="2" t="n"/>
      <c r="D17" s="2" t="n"/>
    </row>
    <row r="18">
      <c r="A18" s="2" t="inlineStr">
        <is>
          <t>In Progress</t>
        </is>
      </c>
      <c r="B18" s="2">
        <f>SUMPRODUCT((IF($B$2="All",1,--(tblWorkOrders[Site]=$B$2)))*(IF($B$3="All",1,--(tblWorkOrders[Job_Category]=$B$3)))*(IF($B$4="All",1,--(tblWorkOrders[Status]=$B$4)))*(IF($B$5="All",1,--(tblWorkOrders[Assigned_To]=$B$5)))*--(tblWorkOrders[Status]=A18))</f>
        <v/>
      </c>
      <c r="C18" s="2" t="n"/>
      <c r="D18" s="2" t="n"/>
    </row>
    <row r="19">
      <c r="A19" s="2" t="inlineStr">
        <is>
          <t>On Hold</t>
        </is>
      </c>
      <c r="B19" s="2">
        <f>SUMPRODUCT((IF($B$2="All",1,--(tblWorkOrders[Site]=$B$2)))*(IF($B$3="All",1,--(tblWorkOrders[Job_Category]=$B$3)))*(IF($B$4="All",1,--(tblWorkOrders[Status]=$B$4)))*(IF($B$5="All",1,--(tblWorkOrders[Assigned_To]=$B$5)))*--(tblWorkOrders[Status]=A19))</f>
        <v/>
      </c>
      <c r="C19" s="2" t="n"/>
      <c r="D19" s="2" t="n"/>
    </row>
    <row r="20">
      <c r="A20" s="2" t="inlineStr">
        <is>
          <t>Closed</t>
        </is>
      </c>
      <c r="B20" s="2">
        <f>SUMPRODUCT((IF($B$2="All",1,--(tblWorkOrders[Site]=$B$2)))*(IF($B$3="All",1,--(tblWorkOrders[Job_Category]=$B$3)))*(IF($B$4="All",1,--(tblWorkOrders[Status]=$B$4)))*(IF($B$5="All",1,--(tblWorkOrders[Assigned_To]=$B$5)))*--(tblWorkOrders[Status]=A20))</f>
        <v/>
      </c>
      <c r="C20" s="2" t="n"/>
      <c r="D20" s="2" t="n"/>
    </row>
    <row r="21">
      <c r="A21" s="2" t="inlineStr">
        <is>
          <t>Cancelled</t>
        </is>
      </c>
      <c r="B21" s="2">
        <f>SUMPRODUCT((IF($B$2="All",1,--(tblWorkOrders[Site]=$B$2)))*(IF($B$3="All",1,--(tblWorkOrders[Job_Category]=$B$3)))*(IF($B$4="All",1,--(tblWorkOrders[Status]=$B$4)))*(IF($B$5="All",1,--(tblWorkOrders[Assigned_To]=$B$5)))*--(tblWorkOrders[Status]=A21))</f>
        <v/>
      </c>
      <c r="C21" s="2" t="n"/>
      <c r="D21" s="2" t="n"/>
    </row>
    <row r="22">
      <c r="A22" s="2" t="n"/>
      <c r="B22" s="2" t="n"/>
      <c r="C22" s="2" t="n"/>
      <c r="D22" s="2" t="n"/>
    </row>
    <row r="23">
      <c r="A23" s="2" t="n"/>
      <c r="B23" s="2" t="n"/>
      <c r="C23" s="2" t="n"/>
      <c r="D23" s="2" t="n"/>
    </row>
    <row r="24">
      <c r="A24" s="2" t="inlineStr">
        <is>
          <t>Work orders by category</t>
        </is>
      </c>
      <c r="B24" s="2" t="inlineStr">
        <is>
          <t>Count</t>
        </is>
      </c>
      <c r="C24" s="2" t="n"/>
      <c r="D24" s="2" t="n"/>
    </row>
    <row r="25">
      <c r="A25" s="2" t="inlineStr">
        <is>
          <t>Leak Repair</t>
        </is>
      </c>
      <c r="B25" s="2">
        <f>SUMPRODUCT((IF($B$2="All",1,--(tblWorkOrders[Site]=$B$2)))*(IF($B$3="All",1,--(tblWorkOrders[Job_Category]=$B$3)))*(IF($B$4="All",1,--(tblWorkOrders[Status]=$B$4)))*(IF($B$5="All",1,--(tblWorkOrders[Assigned_To]=$B$5)))*--(tblWorkOrders[Job_Category]=A25))</f>
        <v/>
      </c>
      <c r="C25" s="2" t="n"/>
      <c r="D25" s="2" t="n"/>
    </row>
    <row r="26">
      <c r="A26" s="2" t="inlineStr">
        <is>
          <t>Valve Repair</t>
        </is>
      </c>
      <c r="B26" s="2">
        <f>SUMPRODUCT((IF($B$2="All",1,--(tblWorkOrders[Site]=$B$2)))*(IF($B$3="All",1,--(tblWorkOrders[Job_Category]=$B$3)))*(IF($B$4="All",1,--(tblWorkOrders[Status]=$B$4)))*(IF($B$5="All",1,--(tblWorkOrders[Assigned_To]=$B$5)))*--(tblWorkOrders[Job_Category]=A26))</f>
        <v/>
      </c>
      <c r="C26" s="2" t="n"/>
      <c r="D26" s="2" t="n"/>
    </row>
    <row r="27">
      <c r="A27" s="2" t="inlineStr">
        <is>
          <t>Pipe Replacement</t>
        </is>
      </c>
      <c r="B27" s="2">
        <f>SUMPRODUCT((IF($B$2="All",1,--(tblWorkOrders[Site]=$B$2)))*(IF($B$3="All",1,--(tblWorkOrders[Job_Category]=$B$3)))*(IF($B$4="All",1,--(tblWorkOrders[Status]=$B$4)))*(IF($B$5="All",1,--(tblWorkOrders[Assigned_To]=$B$5)))*--(tblWorkOrders[Job_Category]=A27))</f>
        <v/>
      </c>
      <c r="C27" s="2" t="n"/>
      <c r="D27" s="2" t="n"/>
    </row>
    <row r="28">
      <c r="A28" s="2" t="inlineStr">
        <is>
          <t>Pump Service</t>
        </is>
      </c>
      <c r="B28" s="2">
        <f>SUMPRODUCT((IF($B$2="All",1,--(tblWorkOrders[Site]=$B$2)))*(IF($B$3="All",1,--(tblWorkOrders[Job_Category]=$B$3)))*(IF($B$4="All",1,--(tblWorkOrders[Status]=$B$4)))*(IF($B$5="All",1,--(tblWorkOrders[Assigned_To]=$B$5)))*--(tblWorkOrders[Job_Category]=A28))</f>
        <v/>
      </c>
      <c r="C28" s="2" t="n"/>
      <c r="D28" s="2" t="n"/>
    </row>
    <row r="29">
      <c r="A29" s="2" t="inlineStr">
        <is>
          <t>Meter Service</t>
        </is>
      </c>
      <c r="B29" s="2">
        <f>SUMPRODUCT((IF($B$2="All",1,--(tblWorkOrders[Site]=$B$2)))*(IF($B$3="All",1,--(tblWorkOrders[Job_Category]=$B$3)))*(IF($B$4="All",1,--(tblWorkOrders[Status]=$B$4)))*(IF($B$5="All",1,--(tblWorkOrders[Assigned_To]=$B$5)))*--(tblWorkOrders[Job_Category]=A29))</f>
        <v/>
      </c>
      <c r="C29" s="2" t="n"/>
      <c r="D29" s="2" t="n"/>
    </row>
    <row r="30">
      <c r="A30" s="2" t="n"/>
      <c r="B30" s="2" t="n"/>
      <c r="C30" s="2" t="n"/>
      <c r="D30" s="2" t="n"/>
    </row>
    <row r="31">
      <c r="A31" s="2" t="n"/>
      <c r="B31" s="2" t="n"/>
      <c r="C31" s="2" t="n"/>
      <c r="D31" s="2" t="n"/>
    </row>
    <row r="32">
      <c r="A32" s="2" t="n"/>
      <c r="B32" s="2" t="n"/>
      <c r="C32" s="2" t="n"/>
      <c r="D32" s="2" t="n"/>
    </row>
    <row r="33">
      <c r="A33" s="2" t="inlineStr">
        <is>
          <t>Work orders by site</t>
        </is>
      </c>
      <c r="B33" s="2" t="inlineStr">
        <is>
          <t>Count</t>
        </is>
      </c>
      <c r="C33" s="2" t="n"/>
      <c r="D33" s="2" t="n"/>
    </row>
    <row r="34">
      <c r="A34" s="2" t="inlineStr">
        <is>
          <t>Woodlands Hub</t>
        </is>
      </c>
      <c r="B34" s="2">
        <f>SUMPRODUCT((IF($B$2="All",1,--(tblWorkOrders[Site]=$B$2)))*(IF($B$3="All",1,--(tblWorkOrders[Job_Category]=$B$3)))*(IF($B$4="All",1,--(tblWorkOrders[Status]=$B$4)))*(IF($B$5="All",1,--(tblWorkOrders[Assigned_To]=$B$5)))*--(tblWorkOrders[Site]=A34))</f>
        <v/>
      </c>
      <c r="C34" s="2" t="n"/>
      <c r="D34" s="2" t="n"/>
    </row>
    <row r="35">
      <c r="A35" s="2" t="inlineStr">
        <is>
          <t>Jurong Depot</t>
        </is>
      </c>
      <c r="B35" s="2">
        <f>SUMPRODUCT((IF($B$2="All",1,--(tblWorkOrders[Site]=$B$2)))*(IF($B$3="All",1,--(tblWorkOrders[Job_Category]=$B$3)))*(IF($B$4="All",1,--(tblWorkOrders[Status]=$B$4)))*(IF($B$5="All",1,--(tblWorkOrders[Assigned_To]=$B$5)))*--(tblWorkOrders[Site]=A35))</f>
        <v/>
      </c>
      <c r="C35" s="2" t="n"/>
      <c r="D35" s="2" t="n"/>
    </row>
    <row r="36">
      <c r="A36" s="2" t="inlineStr">
        <is>
          <t>Tampines Centre</t>
        </is>
      </c>
      <c r="B36" s="2">
        <f>SUMPRODUCT((IF($B$2="All",1,--(tblWorkOrders[Site]=$B$2)))*(IF($B$3="All",1,--(tblWorkOrders[Job_Category]=$B$3)))*(IF($B$4="All",1,--(tblWorkOrders[Status]=$B$4)))*(IF($B$5="All",1,--(tblWorkOrders[Assigned_To]=$B$5)))*--(tblWorkOrders[Site]=A36))</f>
        <v/>
      </c>
      <c r="C36" s="2" t="n"/>
      <c r="D36" s="2" t="n"/>
    </row>
    <row r="37">
      <c r="A37" s="2" t="inlineStr">
        <is>
          <t>Paya Lebar Office</t>
        </is>
      </c>
      <c r="B37" s="2">
        <f>SUMPRODUCT((IF($B$2="All",1,--(tblWorkOrders[Site]=$B$2)))*(IF($B$3="All",1,--(tblWorkOrders[Job_Category]=$B$3)))*(IF($B$4="All",1,--(tblWorkOrders[Status]=$B$4)))*(IF($B$5="All",1,--(tblWorkOrders[Assigned_To]=$B$5)))*--(tblWorkOrders[Site]=A37))</f>
        <v/>
      </c>
      <c r="C37" s="2" t="n"/>
      <c r="D37" s="2" t="n"/>
    </row>
    <row r="38">
      <c r="A38" s="2" t="inlineStr">
        <is>
          <t>Changi Workshop</t>
        </is>
      </c>
      <c r="B38" s="2">
        <f>SUMPRODUCT((IF($B$2="All",1,--(tblWorkOrders[Site]=$B$2)))*(IF($B$3="All",1,--(tblWorkOrders[Job_Category]=$B$3)))*(IF($B$4="All",1,--(tblWorkOrders[Status]=$B$4)))*(IF($B$5="All",1,--(tblWorkOrders[Assigned_To]=$B$5)))*--(tblWorkOrders[Site]=A38))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2026-10-13T18:19:30Z</dcterms:created>
  <dcterms:modified xmlns:dcterms="http://purl.org/dc/terms/" xmlns:xsi="http://www.w3.org/2001/XMLSchema-instance" xsi:type="dcterms:W3CDTF">2026-10-13T18:19:31Z</dcterms:modified>
</cp:coreProperties>
</file>