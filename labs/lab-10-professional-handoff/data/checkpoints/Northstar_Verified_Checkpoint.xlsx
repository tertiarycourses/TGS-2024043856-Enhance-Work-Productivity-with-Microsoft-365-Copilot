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Work orders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Work orders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Work orders by site</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POWERPOINT COPILOT</t>
        </is>
      </c>
      <c r="C2" s="2" t="inlineStr">
        <is>
          <t>POWERPOINT COPILOT:
@maintenance-reporting Audit this eight-slide deck against the selected verified Northstar brief. List inaccurate figures, ambiguous units, date/scope omissions, unsupported causal or approval wording, dense text and weak hierarchy. Propose corrections; do not change values or source facts.</t>
        </is>
      </c>
    </row>
    <row r="3">
      <c r="A3" s="2" t="inlineStr">
        <is>
          <t>Step 3</t>
        </is>
      </c>
      <c r="B3" s="2" t="inlineStr">
        <is>
          <t>POWERPOINT COPILOT</t>
        </is>
      </c>
      <c r="C3" s="2" t="inlineStr">
        <is>
          <t>POWERPOINT COPILOT:
@maintenance-reporting Apply the reviewed design and wording corrections to the existing eight slides. Improve hierarchy and whitespace, make titles claim-led, retain accurate figures and charts, and add 45-second speaker notes per slide. Separate observed findings from proposed actions and end with the decision requested. Preserve the baseline date/scope; do not duplicate slides.</t>
        </is>
      </c>
    </row>
    <row r="4">
      <c r="A4" s="2" t="inlineStr">
        <is>
          <t>Step 4</t>
        </is>
      </c>
      <c r="B4" s="2" t="inlineStr">
        <is>
          <t>POWERPOINT COPILOT</t>
        </is>
      </c>
      <c r="C4" s="2" t="inlineStr">
        <is>
          <t>POWERPOINT COPILOT:
Using only this Northstar Water Services decision deck, propose three rehearsal questions a service operations manager could ask about overdue jobs, technician capacity and proposed priorities. Suggest where the existing evidence supports an answer and where it remains UNKNOWN. Do not invent partner feedback or alter the evidence.</t>
        </is>
      </c>
    </row>
    <row r="5">
      <c r="A5" s="2" t="inlineStr">
        <is>
          <t>Step 6</t>
        </is>
      </c>
      <c r="B5" s="2" t="inlineStr">
        <is>
          <t>OUTLOOK COPILOT</t>
        </is>
      </c>
      <c r="C5" s="2" t="inlineStr">
        <is>
          <t>OUTLOOK COPILOT:
Draft a short Northstar management handoff email using this verified brief and the links I provide. State the 30 September 2026 baseline scope, headline findings, proposed actions and decision required. Explain that the PowerPoint/PDF is a static snapshot while the Excel dashboard is interactive. Leave missing links UNKNOWN. Do not claim approval or send the draft.</t>
        </is>
      </c>
    </row>
    <row r="6">
      <c r="A6" s="2" t="inlineStr">
        <is>
          <t>Step 7</t>
        </is>
      </c>
      <c r="B6" s="2" t="inlineStr">
        <is>
          <t>WORD COPILOT</t>
        </is>
      </c>
      <c r="C6" s="2" t="inlineStr">
        <is>
          <t>WORD COPILOT:
Review the final Northstar Water Services handoff evidence I supply: baseline workbook, refresh-test record, skill v2, eight-slide deck and PDF, brief, source register and unsent email draft. Return a completeness checklist with verified evidence and missing items UNKNOWN. Confirm every artifact uses the same baseline date/scope; never claim approval, submission or sending.</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Northstar Maintenance Dashboard</t>
        </is>
      </c>
      <c r="B1" s="1" t="inlineStr">
        <is>
          <t>Selection</t>
        </is>
      </c>
      <c r="C1" s="1" t="inlineStr">
        <is>
          <t>As at</t>
        </is>
      </c>
      <c r="D1" s="1" t="inlineStr">
        <is>
          <t>2026-09-30</t>
        </is>
      </c>
    </row>
    <row r="2">
      <c r="A2" s="2" t="inlineStr">
        <is>
          <t>Site</t>
        </is>
      </c>
      <c r="B2" s="2" t="inlineStr">
        <is>
          <t>All</t>
        </is>
      </c>
      <c r="C2" s="2" t="n"/>
      <c r="D2" s="2" t="n"/>
    </row>
    <row r="3">
      <c r="A3" s="2" t="inlineStr">
        <is>
          <t>Job_Category</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work orders</t>
        </is>
      </c>
      <c r="B7" s="2">
        <f>SUMPRODUCT((IF($B$2="All",1,--(tblWorkOrders[Site]=$B$2)))*(IF($B$3="All",1,--(tblWorkOrders[Job_Category]=$B$3)))*(IF($B$4="All",1,--(tblWorkOrders[Status]=$B$4)))*(IF($B$5="All",1,--(tblWorkOrders[Assigned_To]=$B$5)))*--(tblWorkOrders[Work_Order_ID]&lt;&gt;""))</f>
        <v/>
      </c>
      <c r="C7" s="2" t="n"/>
      <c r="D7" s="2" t="n"/>
    </row>
    <row r="8">
      <c r="A8" s="2" t="inlineStr">
        <is>
          <t>Backlog</t>
        </is>
      </c>
      <c r="B8" s="2">
        <f>SUMPRODUCT((IF($B$2="All",1,--(tblWorkOrders[Site]=$B$2)))*(IF($B$3="All",1,--(tblWorkOrders[Job_Category]=$B$3)))*(IF($B$4="All",1,--(tblWorkOrders[Status]=$B$4)))*(IF($B$5="All",1,--(tblWorkOrders[Assigned_To]=$B$5)))*--(tblWorkOrders[Status]&lt;&gt;"Closed")*--(tblWorkOrders[Status]&lt;&gt;"Cancelled"))</f>
        <v/>
      </c>
      <c r="C8" s="2" t="n"/>
      <c r="D8" s="2" t="n"/>
    </row>
    <row r="9">
      <c r="A9" s="2" t="inlineStr">
        <is>
          <t>Overdue backlog</t>
        </is>
      </c>
      <c r="B9" s="2">
        <f>SUMPRODUCT((IF($B$2="All",1,--(tblWorkOrders[Site]=$B$2)))*(IF($B$3="All",1,--(tblWorkOrders[Job_Category]=$B$3)))*(IF($B$4="All",1,--(tblWorkOrders[Status]=$B$4)))*(IF($B$5="All",1,--(tblWorkOrders[Assigned_To]=$B$5)))*--(tblWorkOrders[Status]&lt;&gt;"Closed")*--(tblWorkOrders[Status]&lt;&gt;"Cancelled")*--(tblWorkOrders[Due_Date]&lt;Control!$B$2))</f>
        <v/>
      </c>
      <c r="C9" s="2" t="n"/>
      <c r="D9" s="2" t="n"/>
    </row>
    <row r="10">
      <c r="A10" s="2" t="inlineStr">
        <is>
          <t>Closed</t>
        </is>
      </c>
      <c r="B10" s="2">
        <f>SUMPRODUCT((IF($B$2="All",1,--(tblWorkOrders[Site]=$B$2)))*(IF($B$3="All",1,--(tblWorkOrders[Job_Category]=$B$3)))*(IF($B$4="All",1,--(tblWorkOrders[Status]=$B$4)))*(IF($B$5="All",1,--(tblWorkOrders[Assigned_To]=$B$5)))*--(tblWorkOrders[Status]="Closed"))</f>
        <v/>
      </c>
      <c r="C10" s="2" t="n"/>
      <c r="D10" s="2" t="n"/>
    </row>
    <row r="11">
      <c r="A11" s="2" t="inlineStr">
        <is>
          <t>On-time closure rate</t>
        </is>
      </c>
      <c r="B11" s="7">
        <f>IF(B10=0,"N/A",SUMPRODUCT((IF($B$2="All",1,--(tblWorkOrders[Site]=$B$2)))*(IF($B$3="All",1,--(tblWorkOrders[Job_Category]=$B$3)))*(IF($B$4="All",1,--(tblWorkOrders[Status]=$B$4)))*(IF($B$5="All",1,--(tblWorkOrders[Assigned_To]=$B$5)))*--(tblWorkOrders[Status]="Closed")*--(tblWorkOrders[Closed_Date]&lt;=tblWorkOrders[Due_Date]))/B10)</f>
        <v/>
      </c>
      <c r="C11" s="2" t="n"/>
      <c r="D11" s="2" t="n"/>
    </row>
    <row r="12">
      <c r="A12" s="2" t="inlineStr">
        <is>
          <t>Cost SGD</t>
        </is>
      </c>
      <c r="B12" s="8">
        <f>SUMPRODUCT((IF($B$2="All",1,--(tblWorkOrders[Site]=$B$2)))*(IF($B$3="All",1,--(tblWorkOrders[Job_Category]=$B$3)))*(IF($B$4="All",1,--(tblWorkOrders[Status]=$B$4)))*(IF($B$5="All",1,--(tblWorkOrders[Assigned_To]=$B$5)))*tblWorkOrders[Cost_SGD])</f>
        <v/>
      </c>
      <c r="C12" s="2" t="n"/>
      <c r="D12" s="2" t="n"/>
    </row>
    <row r="13">
      <c r="A13" s="2" t="n"/>
      <c r="B13" s="2" t="n"/>
      <c r="C13" s="2" t="n"/>
      <c r="D13" s="2" t="n"/>
    </row>
    <row r="14">
      <c r="A14" s="2" t="n"/>
      <c r="B14" s="2" t="n"/>
      <c r="C14" s="2" t="n"/>
      <c r="D14" s="2" t="n"/>
    </row>
    <row r="15">
      <c r="A15" s="2" t="inlineStr">
        <is>
          <t>Work orders by status</t>
        </is>
      </c>
      <c r="B15" s="2" t="inlineStr">
        <is>
          <t>Count</t>
        </is>
      </c>
      <c r="C15" s="2" t="n"/>
      <c r="D15" s="2" t="n"/>
    </row>
    <row r="16">
      <c r="A16" s="2" t="inlineStr">
        <is>
          <t>New</t>
        </is>
      </c>
      <c r="B16" s="2">
        <f>SUMPRODUCT((IF($B$2="All",1,--(tblWorkOrders[Site]=$B$2)))*(IF($B$3="All",1,--(tblWorkOrders[Job_Category]=$B$3)))*(IF($B$4="All",1,--(tblWorkOrders[Status]=$B$4)))*(IF($B$5="All",1,--(tblWorkOrders[Assigned_To]=$B$5)))*--(tblWorkOrders[Status]=A16))</f>
        <v/>
      </c>
      <c r="C16" s="2" t="n"/>
      <c r="D16" s="2" t="n"/>
    </row>
    <row r="17">
      <c r="A17" s="2" t="inlineStr">
        <is>
          <t>Assigned</t>
        </is>
      </c>
      <c r="B17" s="2">
        <f>SUMPRODUCT((IF($B$2="All",1,--(tblWorkOrders[Site]=$B$2)))*(IF($B$3="All",1,--(tblWorkOrders[Job_Category]=$B$3)))*(IF($B$4="All",1,--(tblWorkOrders[Status]=$B$4)))*(IF($B$5="All",1,--(tblWorkOrders[Assigned_To]=$B$5)))*--(tblWorkOrders[Status]=A17))</f>
        <v/>
      </c>
      <c r="C17" s="2" t="n"/>
      <c r="D17" s="2" t="n"/>
    </row>
    <row r="18">
      <c r="A18" s="2" t="inlineStr">
        <is>
          <t>In Progress</t>
        </is>
      </c>
      <c r="B18" s="2">
        <f>SUMPRODUCT((IF($B$2="All",1,--(tblWorkOrders[Site]=$B$2)))*(IF($B$3="All",1,--(tblWorkOrders[Job_Category]=$B$3)))*(IF($B$4="All",1,--(tblWorkOrders[Status]=$B$4)))*(IF($B$5="All",1,--(tblWorkOrders[Assigned_To]=$B$5)))*--(tblWorkOrders[Status]=A18))</f>
        <v/>
      </c>
      <c r="C18" s="2" t="n"/>
      <c r="D18" s="2" t="n"/>
    </row>
    <row r="19">
      <c r="A19" s="2" t="inlineStr">
        <is>
          <t>On Hold</t>
        </is>
      </c>
      <c r="B19" s="2">
        <f>SUMPRODUCT((IF($B$2="All",1,--(tblWorkOrders[Site]=$B$2)))*(IF($B$3="All",1,--(tblWorkOrders[Job_Category]=$B$3)))*(IF($B$4="All",1,--(tblWorkOrders[Status]=$B$4)))*(IF($B$5="All",1,--(tblWorkOrders[Assigned_To]=$B$5)))*--(tblWorkOrders[Status]=A19))</f>
        <v/>
      </c>
      <c r="C19" s="2" t="n"/>
      <c r="D19" s="2" t="n"/>
    </row>
    <row r="20">
      <c r="A20" s="2" t="inlineStr">
        <is>
          <t>Closed</t>
        </is>
      </c>
      <c r="B20" s="2">
        <f>SUMPRODUCT((IF($B$2="All",1,--(tblWorkOrders[Site]=$B$2)))*(IF($B$3="All",1,--(tblWorkOrders[Job_Category]=$B$3)))*(IF($B$4="All",1,--(tblWorkOrders[Status]=$B$4)))*(IF($B$5="All",1,--(tblWorkOrders[Assigned_To]=$B$5)))*--(tblWorkOrders[Status]=A20))</f>
        <v/>
      </c>
      <c r="C20" s="2" t="n"/>
      <c r="D20" s="2" t="n"/>
    </row>
    <row r="21">
      <c r="A21" s="2" t="inlineStr">
        <is>
          <t>Cancelled</t>
        </is>
      </c>
      <c r="B21" s="2">
        <f>SUMPRODUCT((IF($B$2="All",1,--(tblWorkOrders[Site]=$B$2)))*(IF($B$3="All",1,--(tblWorkOrders[Job_Category]=$B$3)))*(IF($B$4="All",1,--(tblWorkOrders[Status]=$B$4)))*(IF($B$5="All",1,--(tblWorkOrders[Assigned_To]=$B$5)))*--(tblWorkOrders[Status]=A21))</f>
        <v/>
      </c>
      <c r="C21" s="2" t="n"/>
      <c r="D21" s="2" t="n"/>
    </row>
    <row r="22">
      <c r="A22" s="2" t="n"/>
      <c r="B22" s="2" t="n"/>
      <c r="C22" s="2" t="n"/>
      <c r="D22" s="2" t="n"/>
    </row>
    <row r="23">
      <c r="A23" s="2" t="n"/>
      <c r="B23" s="2" t="n"/>
      <c r="C23" s="2" t="n"/>
      <c r="D23" s="2" t="n"/>
    </row>
    <row r="24">
      <c r="A24" s="2" t="inlineStr">
        <is>
          <t>Work orders by category</t>
        </is>
      </c>
      <c r="B24" s="2" t="inlineStr">
        <is>
          <t>Count</t>
        </is>
      </c>
      <c r="C24" s="2" t="n"/>
      <c r="D24" s="2" t="n"/>
    </row>
    <row r="25">
      <c r="A25" s="2" t="inlineStr">
        <is>
          <t>Leak Repair</t>
        </is>
      </c>
      <c r="B25" s="2">
        <f>SUMPRODUCT((IF($B$2="All",1,--(tblWorkOrders[Site]=$B$2)))*(IF($B$3="All",1,--(tblWorkOrders[Job_Category]=$B$3)))*(IF($B$4="All",1,--(tblWorkOrders[Status]=$B$4)))*(IF($B$5="All",1,--(tblWorkOrders[Assigned_To]=$B$5)))*--(tblWorkOrders[Job_Category]=A25))</f>
        <v/>
      </c>
      <c r="C25" s="2" t="n"/>
      <c r="D25" s="2" t="n"/>
    </row>
    <row r="26">
      <c r="A26" s="2" t="inlineStr">
        <is>
          <t>Valve Repair</t>
        </is>
      </c>
      <c r="B26" s="2">
        <f>SUMPRODUCT((IF($B$2="All",1,--(tblWorkOrders[Site]=$B$2)))*(IF($B$3="All",1,--(tblWorkOrders[Job_Category]=$B$3)))*(IF($B$4="All",1,--(tblWorkOrders[Status]=$B$4)))*(IF($B$5="All",1,--(tblWorkOrders[Assigned_To]=$B$5)))*--(tblWorkOrders[Job_Category]=A26))</f>
        <v/>
      </c>
      <c r="C26" s="2" t="n"/>
      <c r="D26" s="2" t="n"/>
    </row>
    <row r="27">
      <c r="A27" s="2" t="inlineStr">
        <is>
          <t>Pipe Replacement</t>
        </is>
      </c>
      <c r="B27" s="2">
        <f>SUMPRODUCT((IF($B$2="All",1,--(tblWorkOrders[Site]=$B$2)))*(IF($B$3="All",1,--(tblWorkOrders[Job_Category]=$B$3)))*(IF($B$4="All",1,--(tblWorkOrders[Status]=$B$4)))*(IF($B$5="All",1,--(tblWorkOrders[Assigned_To]=$B$5)))*--(tblWorkOrders[Job_Category]=A27))</f>
        <v/>
      </c>
      <c r="C27" s="2" t="n"/>
      <c r="D27" s="2" t="n"/>
    </row>
    <row r="28">
      <c r="A28" s="2" t="inlineStr">
        <is>
          <t>Pump Service</t>
        </is>
      </c>
      <c r="B28" s="2">
        <f>SUMPRODUCT((IF($B$2="All",1,--(tblWorkOrders[Site]=$B$2)))*(IF($B$3="All",1,--(tblWorkOrders[Job_Category]=$B$3)))*(IF($B$4="All",1,--(tblWorkOrders[Status]=$B$4)))*(IF($B$5="All",1,--(tblWorkOrders[Assigned_To]=$B$5)))*--(tblWorkOrders[Job_Category]=A28))</f>
        <v/>
      </c>
      <c r="C28" s="2" t="n"/>
      <c r="D28" s="2" t="n"/>
    </row>
    <row r="29">
      <c r="A29" s="2" t="inlineStr">
        <is>
          <t>Meter Service</t>
        </is>
      </c>
      <c r="B29" s="2">
        <f>SUMPRODUCT((IF($B$2="All",1,--(tblWorkOrders[Site]=$B$2)))*(IF($B$3="All",1,--(tblWorkOrders[Job_Category]=$B$3)))*(IF($B$4="All",1,--(tblWorkOrders[Status]=$B$4)))*(IF($B$5="All",1,--(tblWorkOrders[Assigned_To]=$B$5)))*--(tblWorkOrders[Job_Category]=A29))</f>
        <v/>
      </c>
      <c r="C29" s="2" t="n"/>
      <c r="D29" s="2" t="n"/>
    </row>
    <row r="30">
      <c r="A30" s="2" t="n"/>
      <c r="B30" s="2" t="n"/>
      <c r="C30" s="2" t="n"/>
      <c r="D30" s="2" t="n"/>
    </row>
    <row r="31">
      <c r="A31" s="2" t="n"/>
      <c r="B31" s="2" t="n"/>
      <c r="C31" s="2" t="n"/>
      <c r="D31" s="2" t="n"/>
    </row>
    <row r="32">
      <c r="A32" s="2" t="n"/>
      <c r="B32" s="2" t="n"/>
      <c r="C32" s="2" t="n"/>
      <c r="D32" s="2" t="n"/>
    </row>
    <row r="33">
      <c r="A33" s="2" t="inlineStr">
        <is>
          <t>Work orders by site</t>
        </is>
      </c>
      <c r="B33" s="2" t="inlineStr">
        <is>
          <t>Count</t>
        </is>
      </c>
      <c r="C33" s="2" t="n"/>
      <c r="D33" s="2" t="n"/>
    </row>
    <row r="34">
      <c r="A34" s="2" t="inlineStr">
        <is>
          <t>Woodlands Hub</t>
        </is>
      </c>
      <c r="B34" s="2">
        <f>SUMPRODUCT((IF($B$2="All",1,--(tblWorkOrders[Site]=$B$2)))*(IF($B$3="All",1,--(tblWorkOrders[Job_Category]=$B$3)))*(IF($B$4="All",1,--(tblWorkOrders[Status]=$B$4)))*(IF($B$5="All",1,--(tblWorkOrders[Assigned_To]=$B$5)))*--(tblWorkOrders[Site]=A34))</f>
        <v/>
      </c>
      <c r="C34" s="2" t="n"/>
      <c r="D34" s="2" t="n"/>
    </row>
    <row r="35">
      <c r="A35" s="2" t="inlineStr">
        <is>
          <t>Jurong Depot</t>
        </is>
      </c>
      <c r="B35" s="2">
        <f>SUMPRODUCT((IF($B$2="All",1,--(tblWorkOrders[Site]=$B$2)))*(IF($B$3="All",1,--(tblWorkOrders[Job_Category]=$B$3)))*(IF($B$4="All",1,--(tblWorkOrders[Status]=$B$4)))*(IF($B$5="All",1,--(tblWorkOrders[Assigned_To]=$B$5)))*--(tblWorkOrders[Site]=A35))</f>
        <v/>
      </c>
      <c r="C35" s="2" t="n"/>
      <c r="D35" s="2" t="n"/>
    </row>
    <row r="36">
      <c r="A36" s="2" t="inlineStr">
        <is>
          <t>Tampines Centre</t>
        </is>
      </c>
      <c r="B36" s="2">
        <f>SUMPRODUCT((IF($B$2="All",1,--(tblWorkOrders[Site]=$B$2)))*(IF($B$3="All",1,--(tblWorkOrders[Job_Category]=$B$3)))*(IF($B$4="All",1,--(tblWorkOrders[Status]=$B$4)))*(IF($B$5="All",1,--(tblWorkOrders[Assigned_To]=$B$5)))*--(tblWorkOrders[Site]=A36))</f>
        <v/>
      </c>
      <c r="C36" s="2" t="n"/>
      <c r="D36" s="2" t="n"/>
    </row>
    <row r="37">
      <c r="A37" s="2" t="inlineStr">
        <is>
          <t>Paya Lebar Office</t>
        </is>
      </c>
      <c r="B37" s="2">
        <f>SUMPRODUCT((IF($B$2="All",1,--(tblWorkOrders[Site]=$B$2)))*(IF($B$3="All",1,--(tblWorkOrders[Job_Category]=$B$3)))*(IF($B$4="All",1,--(tblWorkOrders[Status]=$B$4)))*(IF($B$5="All",1,--(tblWorkOrders[Assigned_To]=$B$5)))*--(tblWorkOrders[Site]=A37))</f>
        <v/>
      </c>
      <c r="C37" s="2" t="n"/>
      <c r="D37" s="2" t="n"/>
    </row>
    <row r="38">
      <c r="A38" s="2" t="inlineStr">
        <is>
          <t>Changi Workshop</t>
        </is>
      </c>
      <c r="B38" s="2">
        <f>SUMPRODUCT((IF($B$2="All",1,--(tblWorkOrders[Site]=$B$2)))*(IF($B$3="All",1,--(tblWorkOrders[Job_Category]=$B$3)))*(IF($B$4="All",1,--(tblWorkOrders[Status]=$B$4)))*(IF($B$5="All",1,--(tblWorkOrders[Assigned_To]=$B$5)))*--(tblWorkOrders[Site]=A38))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2026-10-13T18:19:29Z</dcterms:created>
  <dcterms:modified xmlns:dcterms="http://purl.org/dc/terms/" xmlns:xsi="http://www.w3.org/2001/XMLSchema-instance" xsi:type="dcterms:W3CDTF">2026-10-13T18:19:30Z</dcterms:modified>
</cp:coreProperties>
</file>