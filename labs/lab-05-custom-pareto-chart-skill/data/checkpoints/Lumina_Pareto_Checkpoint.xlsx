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Pareto_Request_Type" sheetId="8" state="visible" r:id="rId8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'Pareto_Request_Type'!$A$1:$E$10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Overdue backlog: category contribution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'Pareto_Request_Type'!B1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'Pareto_Request_Type'!$A$2:$A$6</f>
            </numRef>
          </cat>
          <val>
            <numRef>
              <f>'Pareto_Request_Type'!$B$2:$B$6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'Pareto_Request_Type'!E1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'Pareto_Request_Type'!$A$2:$A$6</f>
            </numRef>
          </cat>
          <val>
            <numRef>
              <f>'Pareto_Request_Type'!$E$2:$E$6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HR cases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share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7" customWidth="1" min="4" max="4"/>
    <col width="20" customWidth="1" min="5" max="5"/>
  </cols>
  <sheetData>
    <row r="1">
      <c r="A1" s="1" t="inlineStr">
        <is>
          <t>Request_Type</t>
        </is>
      </c>
      <c r="B1" s="1" t="inlineStr">
        <is>
          <t>Count</t>
        </is>
      </c>
      <c r="C1" s="1" t="inlineStr">
        <is>
          <t>Cumulative_Count</t>
        </is>
      </c>
      <c r="D1" s="1" t="inlineStr">
        <is>
          <t>Share</t>
        </is>
      </c>
      <c r="E1" s="1" t="inlineStr">
        <is>
          <t>Cumulative_Percent</t>
        </is>
      </c>
    </row>
    <row r="2">
      <c r="A2" s="2" t="inlineStr">
        <is>
          <t>Payroll Query</t>
        </is>
      </c>
      <c r="B2" s="2">
        <f>COUNTIFS(tblHRCases[Request_Type],A2,tblHRCases[Status],"&lt;&gt;Closed",tblHRCases[Status],"&lt;&gt;Cancelled",tblHRCases[Due_Date],"&lt;"&amp;Control!$B$2)</f>
        <v/>
      </c>
      <c r="C2" s="2">
        <f>SUM($B$2:B2)</f>
        <v/>
      </c>
      <c r="D2" s="5">
        <f>IF(SUM($B$2:$B$6)=0,"N/A",B2/SUM($B$2:$B$6))</f>
        <v/>
      </c>
      <c r="E2" s="5">
        <f>IF(SUM($B$2:$B$6)=0,"N/A",C2/SUM($B$2:$B$6))</f>
        <v/>
      </c>
    </row>
    <row r="3">
      <c r="A3" s="2" t="inlineStr">
        <is>
          <t>Benefits Claim</t>
        </is>
      </c>
      <c r="B3" s="2">
        <f>COUNTIFS(tblHRCases[Request_Type],A3,tblHRCases[Status],"&lt;&gt;Closed",tblHRCases[Status],"&lt;&gt;Cancelled",tblHRCases[Due_Date],"&lt;"&amp;Control!$B$2)</f>
        <v/>
      </c>
      <c r="C3" s="2">
        <f>SUM($B$2:B3)</f>
        <v/>
      </c>
      <c r="D3" s="5">
        <f>IF(SUM($B$2:$B$6)=0,"N/A",B3/SUM($B$2:$B$6))</f>
        <v/>
      </c>
      <c r="E3" s="5">
        <f>IF(SUM($B$2:$B$6)=0,"N/A",C3/SUM($B$2:$B$6))</f>
        <v/>
      </c>
    </row>
    <row r="4">
      <c r="A4" s="2" t="inlineStr">
        <is>
          <t>Leave Request</t>
        </is>
      </c>
      <c r="B4" s="2">
        <f>COUNTIFS(tblHRCases[Request_Type],A4,tblHRCases[Status],"&lt;&gt;Closed",tblHRCases[Status],"&lt;&gt;Cancelled",tblHRCases[Due_Date],"&lt;"&amp;Control!$B$2)</f>
        <v/>
      </c>
      <c r="C4" s="2">
        <f>SUM($B$2:B4)</f>
        <v/>
      </c>
      <c r="D4" s="5">
        <f>IF(SUM($B$2:$B$6)=0,"N/A",B4/SUM($B$2:$B$6))</f>
        <v/>
      </c>
      <c r="E4" s="5">
        <f>IF(SUM($B$2:$B$6)=0,"N/A",C4/SUM($B$2:$B$6))</f>
        <v/>
      </c>
    </row>
    <row r="5">
      <c r="A5" s="2" t="inlineStr">
        <is>
          <t>Training Request</t>
        </is>
      </c>
      <c r="B5" s="2">
        <f>COUNTIFS(tblHRCases[Request_Type],A5,tblHRCases[Status],"&lt;&gt;Closed",tblHRCases[Status],"&lt;&gt;Cancelled",tblHRCases[Due_Date],"&lt;"&amp;Control!$B$2)</f>
        <v/>
      </c>
      <c r="C5" s="2">
        <f>SUM($B$2:B5)</f>
        <v/>
      </c>
      <c r="D5" s="5">
        <f>IF(SUM($B$2:$B$6)=0,"N/A",B5/SUM($B$2:$B$6))</f>
        <v/>
      </c>
      <c r="E5" s="5">
        <f>IF(SUM($B$2:$B$6)=0,"N/A",C5/SUM($B$2:$B$6))</f>
        <v/>
      </c>
    </row>
    <row r="6">
      <c r="A6" s="2" t="inlineStr">
        <is>
          <t>Onboarding</t>
        </is>
      </c>
      <c r="B6" s="2">
        <f>COUNTIFS(tblHRCases[Request_Type],A6,tblHRCases[Status],"&lt;&gt;Closed",tblHRCases[Status],"&lt;&gt;Cancelled",tblHRCases[Due_Date],"&lt;"&amp;Control!$B$2)</f>
        <v/>
      </c>
      <c r="C6" s="2">
        <f>SUM($B$2:B6)</f>
        <v/>
      </c>
      <c r="D6" s="5">
        <f>IF(SUM($B$2:$B$6)=0,"N/A",B6/SUM($B$2:$B$6))</f>
        <v/>
      </c>
      <c r="E6" s="5">
        <f>IF(SUM($B$2:$B$6)=0,"N/A",C6/SUM($B$2:$B$6))</f>
        <v/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Reporting date</t>
        </is>
      </c>
      <c r="B8" s="6">
        <f>Control!B2</f>
        <v/>
      </c>
      <c r="C8" s="2" t="n"/>
      <c r="D8" s="2" t="n"/>
      <c r="E8" s="2" t="n"/>
    </row>
    <row r="9">
      <c r="A9" s="2" t="inlineStr">
        <is>
          <t>Scope</t>
        </is>
      </c>
      <c r="B9" s="2" t="inlineStr">
        <is>
          <t>All; overdue backlog only</t>
        </is>
      </c>
      <c r="C9" s="2" t="n"/>
      <c r="D9" s="2" t="n"/>
      <c r="E9" s="2" t="n"/>
    </row>
    <row r="10">
      <c r="A10" s="2" t="inlineStr">
        <is>
          <t>Interpretation</t>
        </is>
      </c>
      <c r="B10" s="2" t="inlineStr">
        <is>
          <t>Four categories first reach80%; counts show contribution, not cause.</t>
        </is>
      </c>
      <c r="C10" s="2" t="n"/>
      <c r="D10" s="2" t="n"/>
      <c r="E10" s="2" t="n"/>
    </row>
  </sheetData>
  <autoFilter ref="A1:E1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2026-10-20T15:39:33Z</dcterms:created>
  <dcterms:modified xmlns:dcterms="http://purl.org/dc/terms/" xmlns:xsi="http://www.w3.org/2001/XMLSchema-instance" xsi:type="dcterms:W3CDTF">2026-10-20T15:39:33Z</dcterms:modified>
</cp:coreProperties>
</file>