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For the untouched 120-row Lumina Living baseline dashboard at 2026-09-30, All selectors, return a presentation evidence table: six KPIs, backlog by department, status and request-type counts, unassigned backlog and relevant source references. Do not use the refresh-test copy or infer employee impact, policy breach, causes or savings.</t>
        </is>
      </c>
    </row>
    <row r="3">
      <c r="A3" s="2" t="inlineStr">
        <is>
          <t>Step 2</t>
        </is>
      </c>
      <c r="B3" s="2" t="inlineStr">
        <is>
          <t>WORD COPILOT</t>
        </is>
      </c>
      <c r="C3" s="2" t="inlineStr">
        <is>
          <t>WORD COPILOT:
Using this verified 120-row Lumina HR service snapshot, draft an eight-slide management presentation brief. For each slide give one claim headline, supporting measure/chart, source/date/scope, limitation and speaker note. Structure: overview, portfolio, department backlog, status/category mix, SLA/overdue, assignment/capacity, proposed actions/trade-offs, decision/next review. Do not invent causes, savings, approval or future dates; use UNKNOWN when absent.</t>
        </is>
      </c>
    </row>
    <row r="4">
      <c r="A4" s="2" t="inlineStr">
        <is>
          <t>Step 3</t>
        </is>
      </c>
      <c r="B4" s="2" t="inlineStr">
        <is>
          <t>WORD COPILOT</t>
        </is>
      </c>
      <c r="C4" s="2" t="inlineStr">
        <is>
          <t>WORD COPILOT:
Review this eight-slide Lumina Living brief against the supplied baseline evidence. Check each headline has a supporting value, correct units, source/date/scope and an explicit limitation. Rewrite unsupported claims as questions or proposed actions. Do not change verified figures or invent approvals.</t>
        </is>
      </c>
    </row>
    <row r="5">
      <c r="A5" s="2" t="inlineStr">
        <is>
          <t>Step 4</t>
        </is>
      </c>
      <c r="B5" s="2" t="inlineStr">
        <is>
          <t>POWERPOINT COPILOT</t>
        </is>
      </c>
      <c r="C5" s="2" t="inlineStr">
        <is>
          <t>POWERPOINT COPILOT:
@hr-case-reporting Create or update an eight-slide management presentation from the selected Lumina_Presentation_Brief.docx. Follow the existing white/navy/blue template. One evidence-based message per slide, short visible text, charts or tables for numerical evidence, source/as-at/scope in notes, and a final decision request. Keep values exact, and label all next actions as proposed. Do not add extra slides or invented facts.</t>
        </is>
      </c>
    </row>
    <row r="6">
      <c r="A6" s="2" t="inlineStr">
        <is>
          <t>Step 6</t>
        </is>
      </c>
      <c r="B6" s="2" t="inlineStr">
        <is>
          <t>POWERPOINT COPILOT</t>
        </is>
      </c>
      <c r="C6" s="2" t="inlineStr">
        <is>
          <t>POWERPOINT COPILOT:
Audit the eight-slide Lumina Living management draft against the selected presentation brief and evidence register. Confirm baseline 120, source notes, chart labels and units, correct backlog exclusions and proposed-action wording. List needed corrections and preserve slide count; do not claim Excel charts update automatically.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Lumina HR Service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Department</t>
        </is>
      </c>
      <c r="B2" s="2" t="inlineStr">
        <is>
          <t>All</t>
        </is>
      </c>
      <c r="C2" s="2" t="n"/>
      <c r="D2" s="2" t="n"/>
    </row>
    <row r="3">
      <c r="A3" s="2" t="inlineStr">
        <is>
          <t>Request_Type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HR cases</t>
        </is>
      </c>
      <c r="B7" s="2">
        <f>SUMPRODUCT((IF($B$2="All",1,--(tblHRCases[Department]=$B$2)))*(IF($B$3="All",1,--(tblHRCases[Request_Type]=$B$3)))*(IF($B$4="All",1,--(tblHRCases[Status]=$B$4)))*(IF($B$5="All",1,--(tblHRCases[Assigned_To]=$B$5)))*--(tblHRCases[Case_ID]&lt;&gt;""))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*--(tblHRCase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SUMPRODUCT((IF($B$2="All",1,--(tblHRCases[Department]=$B$2)))*(IF($B$3="All",1,--(tblHRCases[Request_Type]=$B$3)))*(IF($B$4="All",1,--(tblHRCases[Status]=$B$4)))*(IF($B$5="All",1,--(tblHRCases[Assigned_To]=$B$5)))*--(tblHRCases[Status]="Closed"))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HRCases[Department]=$B$2)))*(IF($B$3="All",1,--(tblHRCases[Request_Type]=$B$3)))*(IF($B$4="All",1,--(tblHRCases[Status]=$B$4)))*(IF($B$5="All",1,--(tblHRCases[Assigned_To]=$B$5)))*--(tblHRCases[Status]="Closed")*--(tblHRCases[Closed_Date]&lt;=tblHRCase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SUMPRODUCT((IF($B$2="All",1,--(tblHRCases[Department]=$B$2)))*(IF($B$3="All",1,--(tblHRCases[Request_Type]=$B$3)))*(IF($B$4="All",1,--(tblHRCases[Status]=$B$4)))*(IF($B$5="All",1,--(tblHRCases[Assigned_To]=$B$5)))*tblHRCases[Cost_SGD])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HR cases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SUMPRODUCT((IF($B$2="All",1,--(tblHRCases[Department]=$B$2)))*(IF($B$3="All",1,--(tblHRCases[Request_Type]=$B$3)))*(IF($B$4="All",1,--(tblHRCases[Status]=$B$4)))*(IF($B$5="All",1,--(tblHRCases[Assigned_To]=$B$5)))*--(tblHRCases[Status]=A16))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SUMPRODUCT((IF($B$2="All",1,--(tblHRCases[Department]=$B$2)))*(IF($B$3="All",1,--(tblHRCases[Request_Type]=$B$3)))*(IF($B$4="All",1,--(tblHRCases[Status]=$B$4)))*(IF($B$5="All",1,--(tblHRCases[Assigned_To]=$B$5)))*--(tblHRCases[Status]=A17))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SUMPRODUCT((IF($B$2="All",1,--(tblHRCases[Department]=$B$2)))*(IF($B$3="All",1,--(tblHRCases[Request_Type]=$B$3)))*(IF($B$4="All",1,--(tblHRCases[Status]=$B$4)))*(IF($B$5="All",1,--(tblHRCases[Assigned_To]=$B$5)))*--(tblHRCases[Status]=A18))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SUMPRODUCT((IF($B$2="All",1,--(tblHRCases[Department]=$B$2)))*(IF($B$3="All",1,--(tblHRCases[Request_Type]=$B$3)))*(IF($B$4="All",1,--(tblHRCases[Status]=$B$4)))*(IF($B$5="All",1,--(tblHRCases[Assigned_To]=$B$5)))*--(tblHRCases[Status]=A19))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SUMPRODUCT((IF($B$2="All",1,--(tblHRCases[Department]=$B$2)))*(IF($B$3="All",1,--(tblHRCases[Request_Type]=$B$3)))*(IF($B$4="All",1,--(tblHRCases[Status]=$B$4)))*(IF($B$5="All",1,--(tblHRCases[Assigned_To]=$B$5)))*--(tblHRCases[Status]=A20))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SUMPRODUCT((IF($B$2="All",1,--(tblHRCases[Department]=$B$2)))*(IF($B$3="All",1,--(tblHRCases[Request_Type]=$B$3)))*(IF($B$4="All",1,--(tblHRCases[Status]=$B$4)))*(IF($B$5="All",1,--(tblHRCases[Assigned_To]=$B$5)))*--(tblHRCases[Status]=A21))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HR cases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Leave Request</t>
        </is>
      </c>
      <c r="B25" s="2">
        <f>SUMPRODUCT((IF($B$2="All",1,--(tblHRCases[Department]=$B$2)))*(IF($B$3="All",1,--(tblHRCases[Request_Type]=$B$3)))*(IF($B$4="All",1,--(tblHRCases[Status]=$B$4)))*(IF($B$5="All",1,--(tblHRCases[Assigned_To]=$B$5)))*--(tblHRCases[Request_Type]=A25))</f>
        <v/>
      </c>
      <c r="C25" s="2" t="n"/>
      <c r="D25" s="2" t="n"/>
    </row>
    <row r="26">
      <c r="A26" s="2" t="inlineStr">
        <is>
          <t>Training Request</t>
        </is>
      </c>
      <c r="B26" s="2">
        <f>SUMPRODUCT((IF($B$2="All",1,--(tblHRCases[Department]=$B$2)))*(IF($B$3="All",1,--(tblHRCases[Request_Type]=$B$3)))*(IF($B$4="All",1,--(tblHRCases[Status]=$B$4)))*(IF($B$5="All",1,--(tblHRCases[Assigned_To]=$B$5)))*--(tblHRCases[Request_Type]=A26))</f>
        <v/>
      </c>
      <c r="C26" s="2" t="n"/>
      <c r="D26" s="2" t="n"/>
    </row>
    <row r="27">
      <c r="A27" s="2" t="inlineStr">
        <is>
          <t>Onboarding</t>
        </is>
      </c>
      <c r="B27" s="2">
        <f>SUMPRODUCT((IF($B$2="All",1,--(tblHRCases[Department]=$B$2)))*(IF($B$3="All",1,--(tblHRCases[Request_Type]=$B$3)))*(IF($B$4="All",1,--(tblHRCases[Status]=$B$4)))*(IF($B$5="All",1,--(tblHRCases[Assigned_To]=$B$5)))*--(tblHRCases[Request_Type]=A27))</f>
        <v/>
      </c>
      <c r="C27" s="2" t="n"/>
      <c r="D27" s="2" t="n"/>
    </row>
    <row r="28">
      <c r="A28" s="2" t="inlineStr">
        <is>
          <t>Payroll Query</t>
        </is>
      </c>
      <c r="B28" s="2">
        <f>SUMPRODUCT((IF($B$2="All",1,--(tblHRCases[Department]=$B$2)))*(IF($B$3="All",1,--(tblHRCases[Request_Type]=$B$3)))*(IF($B$4="All",1,--(tblHRCases[Status]=$B$4)))*(IF($B$5="All",1,--(tblHRCases[Assigned_To]=$B$5)))*--(tblHRCases[Request_Type]=A28))</f>
        <v/>
      </c>
      <c r="C28" s="2" t="n"/>
      <c r="D28" s="2" t="n"/>
    </row>
    <row r="29">
      <c r="A29" s="2" t="inlineStr">
        <is>
          <t>Benefits Claim</t>
        </is>
      </c>
      <c r="B29" s="2">
        <f>SUMPRODUCT((IF($B$2="All",1,--(tblHRCases[Department]=$B$2)))*(IF($B$3="All",1,--(tblHRCases[Request_Type]=$B$3)))*(IF($B$4="All",1,--(tblHRCases[Status]=$B$4)))*(IF($B$5="All",1,--(tblHRCases[Assigned_To]=$B$5)))*--(tblHRCases[Request_Type]=A29))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HR cases by department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Retail Sales</t>
        </is>
      </c>
      <c r="B34" s="2">
        <f>SUMPRODUCT((IF($B$2="All",1,--(tblHRCases[Department]=$B$2)))*(IF($B$3="All",1,--(tblHRCases[Request_Type]=$B$3)))*(IF($B$4="All",1,--(tblHRCases[Status]=$B$4)))*(IF($B$5="All",1,--(tblHRCases[Assigned_To]=$B$5)))*--(tblHRCases[Department]=A34))</f>
        <v/>
      </c>
      <c r="C34" s="2" t="n"/>
      <c r="D34" s="2" t="n"/>
    </row>
    <row r="35">
      <c r="A35" s="2" t="inlineStr">
        <is>
          <t>Operations</t>
        </is>
      </c>
      <c r="B35" s="2">
        <f>SUMPRODUCT((IF($B$2="All",1,--(tblHRCases[Department]=$B$2)))*(IF($B$3="All",1,--(tblHRCases[Request_Type]=$B$3)))*(IF($B$4="All",1,--(tblHRCases[Status]=$B$4)))*(IF($B$5="All",1,--(tblHRCases[Assigned_To]=$B$5)))*--(tblHRCases[Department]=A35))</f>
        <v/>
      </c>
      <c r="C35" s="2" t="n"/>
      <c r="D35" s="2" t="n"/>
    </row>
    <row r="36">
      <c r="A36" s="2" t="inlineStr">
        <is>
          <t>Finance</t>
        </is>
      </c>
      <c r="B36" s="2">
        <f>SUMPRODUCT((IF($B$2="All",1,--(tblHRCases[Department]=$B$2)))*(IF($B$3="All",1,--(tblHRCases[Request_Type]=$B$3)))*(IF($B$4="All",1,--(tblHRCases[Status]=$B$4)))*(IF($B$5="All",1,--(tblHRCases[Assigned_To]=$B$5)))*--(tblHRCases[Department]=A36))</f>
        <v/>
      </c>
      <c r="C36" s="2" t="n"/>
      <c r="D36" s="2" t="n"/>
    </row>
    <row r="37">
      <c r="A37" s="2" t="inlineStr">
        <is>
          <t>Marketing</t>
        </is>
      </c>
      <c r="B37" s="2">
        <f>SUMPRODUCT((IF($B$2="All",1,--(tblHRCases[Department]=$B$2)))*(IF($B$3="All",1,--(tblHRCases[Request_Type]=$B$3)))*(IF($B$4="All",1,--(tblHRCases[Status]=$B$4)))*(IF($B$5="All",1,--(tblHRCases[Assigned_To]=$B$5)))*--(tblHRCases[Department]=A37))</f>
        <v/>
      </c>
      <c r="C37" s="2" t="n"/>
      <c r="D37" s="2" t="n"/>
    </row>
    <row r="38">
      <c r="A38" s="2" t="inlineStr">
        <is>
          <t>Technology</t>
        </is>
      </c>
      <c r="B38" s="2">
        <f>SUMPRODUCT((IF($B$2="All",1,--(tblHRCases[Department]=$B$2)))*(IF($B$3="All",1,--(tblHRCases[Request_Type]=$B$3)))*(IF($B$4="All",1,--(tblHRCases[Status]=$B$4)))*(IF($B$5="All",1,--(tblHRCases[Assigned_To]=$B$5)))*--(tblHRCases[Department]=A38))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Retail Sales</t>
        </is>
      </c>
      <c r="B2" t="inlineStr">
        <is>
          <t>Leave Request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Operations</t>
        </is>
      </c>
      <c r="B3" t="inlineStr">
        <is>
          <t>Training Request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Finance</t>
        </is>
      </c>
      <c r="B4" t="inlineStr">
        <is>
          <t>Onboarding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Marketing</t>
        </is>
      </c>
      <c r="B5" t="inlineStr">
        <is>
          <t>Payroll Query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Technology</t>
        </is>
      </c>
      <c r="B6" t="inlineStr">
        <is>
          <t>Benefits Claim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2026-10-20T15:39:34Z</dcterms:created>
  <dcterms:modified xmlns:dcterms="http://purl.org/dc/terms/" xmlns:xsi="http://www.w3.org/2001/XMLSchema-instance" xsi:type="dcterms:W3CDTF">2026-10-20T15:39:34Z</dcterms:modified>
</cp:coreProperties>
</file>