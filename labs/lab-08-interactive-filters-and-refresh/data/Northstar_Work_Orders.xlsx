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Rules" sheetId="7" state="visible" r:id="rId7"/>
    <sheet xmlns:r="http://schemas.openxmlformats.org/officeDocument/2006/relationships" name="Dashboard" sheetId="8" state="visible" r:id="rId8"/>
    <sheet xmlns:r="http://schemas.openxmlformats.org/officeDocument/2006/relationships" name="Filter_Lists" sheetId="9" state="hidden" r:id="rId9"/>
  </sheets>
  <definedNames>
    <definedName name="_xlnm._FilterDatabase" localSheetId="0" hidden="1">'About_This_Data'!$A$1:$B$6</definedName>
    <definedName name="_xlnm._FilterDatabase" localSheetId="1" hidden="1">'Work_Orders'!$A$1:$M$121</definedName>
    <definedName name="_xlnm._FilterDatabase" localSheetId="2" hidden="1">'Technicians'!$A$1:$D$9</definedName>
    <definedName name="_xlnm._FilterDatabase" localSheetId="3" hidden="1">'Control'!$A$1:$B$15</definedName>
    <definedName name="_xlnm._FilterDatabase" localSheetId="4" hidden="1">'Prompt_Log'!$A$1:$F$1</definedName>
    <definedName name="_xlnm._FilterDatabase" localSheetId="5" hidden="1">'Checks'!$A$1:$C$2</definedName>
    <definedName name="_xlnm._FilterDatabase" localSheetId="7" hidden="1">'Dashboard'!$A$1:$D$38</definedName>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quot;S$&quot;#,##0.00"/>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Work orders by status</a:t>
            </a:r>
          </a:p>
        </rich>
      </tx>
    </title>
    <plotArea>
      <barChart>
        <barDir val="col"/>
        <grouping val="clustered"/>
        <ser>
          <idx val="0"/>
          <order val="0"/>
          <tx>
            <strRef>
              <f>'Dashboard'!B15</f>
            </strRef>
          </tx>
          <spPr>
            <a:ln xmlns:a="http://schemas.openxmlformats.org/drawingml/2006/main">
              <a:prstDash val="solid"/>
            </a:ln>
          </spPr>
          <cat>
            <numRef>
              <f>'Dashboard'!$A$16:$A$21</f>
            </numRef>
          </cat>
          <val>
            <numRef>
              <f>'Dashboard'!$B$16:$B$21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Work orders by category</a:t>
            </a:r>
          </a:p>
        </rich>
      </tx>
    </title>
    <plotArea>
      <barChart>
        <barDir val="col"/>
        <grouping val="clustered"/>
        <ser>
          <idx val="0"/>
          <order val="0"/>
          <tx>
            <strRef>
              <f>'Dashboard'!B24</f>
            </strRef>
          </tx>
          <spPr>
            <a:ln xmlns:a="http://schemas.openxmlformats.org/drawingml/2006/main">
              <a:prstDash val="solid"/>
            </a:ln>
          </spPr>
          <cat>
            <numRef>
              <f>'Dashboard'!$A$25:$A$29</f>
            </numRef>
          </cat>
          <val>
            <numRef>
              <f>'Dashboard'!$B$25:$B$29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Work orders by site</a:t>
            </a:r>
          </a:p>
        </rich>
      </tx>
    </title>
    <plotArea>
      <barChart>
        <barDir val="col"/>
        <grouping val="clustered"/>
        <ser>
          <idx val="0"/>
          <order val="0"/>
          <tx>
            <strRef>
              <f>'Dashboard'!B33</f>
            </strRef>
          </tx>
          <spPr>
            <a:ln xmlns:a="http://schemas.openxmlformats.org/drawingml/2006/main">
              <a:prstDash val="solid"/>
            </a:ln>
          </spPr>
          <cat>
            <numRef>
              <f>'Dashboard'!$A$34:$A$38</f>
            </numRef>
          </cat>
          <val>
            <numRef>
              <f>'Dashboard'!$B$34:$B$38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4</col>
      <colOff>0</colOff>
      <row>1</row>
      <rowOff>0</rowOff>
    </from>
    <ext cx="75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10</row>
      <rowOff>0</rowOff>
    </from>
    <ext cx="75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19</row>
      <rowOff>0</rowOff>
    </from>
    <ext cx="75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6"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6" t="n">
        <v>46290</v>
      </c>
      <c r="H2" s="6" t="n">
        <v>46297</v>
      </c>
      <c r="I2" s="6"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6" t="n">
        <v>46289</v>
      </c>
      <c r="H3" s="6" t="n">
        <v>46297</v>
      </c>
      <c r="I3" s="6"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6" t="n">
        <v>46288</v>
      </c>
      <c r="H4" s="6"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6" t="n">
        <v>46287</v>
      </c>
      <c r="H5" s="6"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6" t="n">
        <v>46286</v>
      </c>
      <c r="H6" s="6"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6" t="n">
        <v>46285</v>
      </c>
      <c r="H7" s="6" t="n">
        <v>46297</v>
      </c>
      <c r="I7" s="6"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6" t="n">
        <v>46284</v>
      </c>
      <c r="H8" s="6" t="n">
        <v>46297</v>
      </c>
      <c r="I8" s="6"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6" t="n">
        <v>46283</v>
      </c>
      <c r="H9" s="6"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6" t="n">
        <v>46282</v>
      </c>
      <c r="H10" s="6"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6" t="n">
        <v>46281</v>
      </c>
      <c r="H11" s="6"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6" t="n">
        <v>46280</v>
      </c>
      <c r="H12" s="6" t="n">
        <v>46287</v>
      </c>
      <c r="I12" s="6"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6" t="n">
        <v>46279</v>
      </c>
      <c r="H13" s="6" t="n">
        <v>46287</v>
      </c>
      <c r="I13" s="6"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t="inlineStr"/>
      <c r="G14" s="6" t="n">
        <v>46278</v>
      </c>
      <c r="H14" s="6"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6" t="n">
        <v>46277</v>
      </c>
      <c r="H15" s="6"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6" t="n">
        <v>46276</v>
      </c>
      <c r="H16" s="6"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6" t="n">
        <v>46275</v>
      </c>
      <c r="H17" s="6" t="n">
        <v>46287</v>
      </c>
      <c r="I17" s="6"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6" t="n">
        <v>46274</v>
      </c>
      <c r="H18" s="6" t="n">
        <v>46287</v>
      </c>
      <c r="I18" s="6"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6" t="n">
        <v>46273</v>
      </c>
      <c r="H19" s="6"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6" t="n">
        <v>46272</v>
      </c>
      <c r="H20" s="6"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6" t="n">
        <v>46271</v>
      </c>
      <c r="H21" s="6"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6" t="n">
        <v>46270</v>
      </c>
      <c r="H22" s="6" t="n">
        <v>46277</v>
      </c>
      <c r="I22" s="6"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6" t="n">
        <v>46269</v>
      </c>
      <c r="H23" s="6" t="n">
        <v>46277</v>
      </c>
      <c r="I23" s="6"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6" t="n">
        <v>46268</v>
      </c>
      <c r="H24" s="6"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6" t="n">
        <v>46267</v>
      </c>
      <c r="H25" s="6"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inlineStr"/>
      <c r="G26" s="6" t="n">
        <v>46266</v>
      </c>
      <c r="H26" s="6"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6" t="n">
        <v>46265</v>
      </c>
      <c r="H27" s="6" t="n">
        <v>46277</v>
      </c>
      <c r="I27" s="6"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6" t="n">
        <v>46264</v>
      </c>
      <c r="H28" s="6" t="n">
        <v>46277</v>
      </c>
      <c r="I28" s="6"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6" t="n">
        <v>46263</v>
      </c>
      <c r="H29" s="6"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6" t="n">
        <v>46262</v>
      </c>
      <c r="H30" s="6"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6" t="n">
        <v>46261</v>
      </c>
      <c r="H31" s="6"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6" t="n">
        <v>46260</v>
      </c>
      <c r="H32" s="6" t="n">
        <v>46267</v>
      </c>
      <c r="I32" s="6"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6" t="n">
        <v>46259</v>
      </c>
      <c r="H33" s="6" t="n">
        <v>46267</v>
      </c>
      <c r="I33" s="6"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6" t="n">
        <v>46258</v>
      </c>
      <c r="H34" s="6"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6" t="n">
        <v>46257</v>
      </c>
      <c r="H35" s="6"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6" t="n">
        <v>46256</v>
      </c>
      <c r="H36" s="6"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6" t="n">
        <v>46255</v>
      </c>
      <c r="H37" s="6" t="n">
        <v>46267</v>
      </c>
      <c r="I37" s="6"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6" t="n">
        <v>46254</v>
      </c>
      <c r="H38" s="6" t="n">
        <v>46267</v>
      </c>
      <c r="I38" s="6"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6" t="n">
        <v>46253</v>
      </c>
      <c r="H39" s="6"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6" t="n">
        <v>46252</v>
      </c>
      <c r="H40" s="6"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6" t="n">
        <v>46251</v>
      </c>
      <c r="H41" s="6"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6" t="n">
        <v>46250</v>
      </c>
      <c r="H42" s="6" t="n">
        <v>46257</v>
      </c>
      <c r="I42" s="6"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6" t="n">
        <v>46249</v>
      </c>
      <c r="H43" s="6" t="n">
        <v>46257</v>
      </c>
      <c r="I43" s="6"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6" t="n">
        <v>46248</v>
      </c>
      <c r="H44" s="6"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6" t="n">
        <v>46247</v>
      </c>
      <c r="H45" s="6"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6" t="n">
        <v>46246</v>
      </c>
      <c r="H46" s="6"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6" t="n">
        <v>46245</v>
      </c>
      <c r="H47" s="6" t="n">
        <v>46257</v>
      </c>
      <c r="I47" s="6"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6" t="n">
        <v>46244</v>
      </c>
      <c r="H48" s="6" t="n">
        <v>46257</v>
      </c>
      <c r="I48" s="6"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6" t="n">
        <v>46243</v>
      </c>
      <c r="H49" s="6"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inlineStr"/>
      <c r="G50" s="6" t="n">
        <v>46242</v>
      </c>
      <c r="H50" s="6"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6" t="n">
        <v>46241</v>
      </c>
      <c r="H51" s="6"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6" t="n">
        <v>46240</v>
      </c>
      <c r="H52" s="6" t="n">
        <v>46247</v>
      </c>
      <c r="I52" s="6"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6" t="n">
        <v>46239</v>
      </c>
      <c r="H53" s="6" t="n">
        <v>46247</v>
      </c>
      <c r="I53" s="6"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6" t="n">
        <v>46238</v>
      </c>
      <c r="H54" s="6"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6" t="n">
        <v>46237</v>
      </c>
      <c r="H55" s="6"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6" t="n">
        <v>46236</v>
      </c>
      <c r="H56" s="6"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6" t="n">
        <v>46235</v>
      </c>
      <c r="H57" s="6" t="n">
        <v>46247</v>
      </c>
      <c r="I57" s="6"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6" t="n">
        <v>46234</v>
      </c>
      <c r="H58" s="6" t="n">
        <v>46247</v>
      </c>
      <c r="I58" s="6"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6" t="n">
        <v>46233</v>
      </c>
      <c r="H59" s="6"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6" t="n">
        <v>46232</v>
      </c>
      <c r="H60" s="6"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6" t="n">
        <v>46231</v>
      </c>
      <c r="H61" s="6"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6" t="n">
        <v>46230</v>
      </c>
      <c r="H62" s="6" t="n">
        <v>46237</v>
      </c>
      <c r="I62" s="6"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6" t="n">
        <v>46229</v>
      </c>
      <c r="H63" s="6" t="n">
        <v>46237</v>
      </c>
      <c r="I63" s="6"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6" t="n">
        <v>46228</v>
      </c>
      <c r="H64" s="6"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6" t="n">
        <v>46227</v>
      </c>
      <c r="H65" s="6"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6" t="n">
        <v>46226</v>
      </c>
      <c r="H66" s="6"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6" t="n">
        <v>46225</v>
      </c>
      <c r="H67" s="6" t="n">
        <v>46237</v>
      </c>
      <c r="I67" s="6"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6" t="n">
        <v>46224</v>
      </c>
      <c r="H68" s="6" t="n">
        <v>46237</v>
      </c>
      <c r="I68" s="6"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6" t="n">
        <v>46223</v>
      </c>
      <c r="H69" s="6"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6" t="n">
        <v>46222</v>
      </c>
      <c r="H70" s="6"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6" t="n">
        <v>46221</v>
      </c>
      <c r="H71" s="6"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6" t="n">
        <v>46220</v>
      </c>
      <c r="H72" s="6" t="n">
        <v>46227</v>
      </c>
      <c r="I72" s="6"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6" t="n">
        <v>46219</v>
      </c>
      <c r="H73" s="6" t="n">
        <v>46227</v>
      </c>
      <c r="I73" s="6"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inlineStr"/>
      <c r="G74" s="6" t="n">
        <v>46218</v>
      </c>
      <c r="H74" s="6"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6" t="n">
        <v>46217</v>
      </c>
      <c r="H75" s="6"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6" t="n">
        <v>46216</v>
      </c>
      <c r="H76" s="6"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6" t="n">
        <v>46215</v>
      </c>
      <c r="H77" s="6" t="n">
        <v>46227</v>
      </c>
      <c r="I77" s="6"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6" t="n">
        <v>46214</v>
      </c>
      <c r="H78" s="6" t="n">
        <v>46227</v>
      </c>
      <c r="I78" s="6"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6" t="n">
        <v>46213</v>
      </c>
      <c r="H79" s="6"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6" t="n">
        <v>46212</v>
      </c>
      <c r="H80" s="6"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6" t="n">
        <v>46211</v>
      </c>
      <c r="H81" s="6"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6" t="n">
        <v>46290</v>
      </c>
      <c r="H82" s="6" t="n">
        <v>46297</v>
      </c>
      <c r="I82" s="6"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6" t="n">
        <v>46289</v>
      </c>
      <c r="H83" s="6" t="n">
        <v>46297</v>
      </c>
      <c r="I83" s="6"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6" t="n">
        <v>46288</v>
      </c>
      <c r="H84" s="6"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6" t="n">
        <v>46287</v>
      </c>
      <c r="H85" s="6"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inlineStr"/>
      <c r="G86" s="6" t="n">
        <v>46286</v>
      </c>
      <c r="H86" s="6"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6" t="n">
        <v>46285</v>
      </c>
      <c r="H87" s="6" t="n">
        <v>46297</v>
      </c>
      <c r="I87" s="6"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6" t="n">
        <v>46284</v>
      </c>
      <c r="H88" s="6" t="n">
        <v>46297</v>
      </c>
      <c r="I88" s="6"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6" t="n">
        <v>46283</v>
      </c>
      <c r="H89" s="6"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6" t="n">
        <v>46282</v>
      </c>
      <c r="H90" s="6"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6" t="n">
        <v>46281</v>
      </c>
      <c r="H91" s="6"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6" t="n">
        <v>46280</v>
      </c>
      <c r="H92" s="6" t="n">
        <v>46287</v>
      </c>
      <c r="I92" s="6"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6" t="n">
        <v>46279</v>
      </c>
      <c r="H93" s="6" t="n">
        <v>46287</v>
      </c>
      <c r="I93" s="6"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6" t="n">
        <v>46278</v>
      </c>
      <c r="H94" s="6"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6" t="n">
        <v>46277</v>
      </c>
      <c r="H95" s="6"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6" t="n">
        <v>46276</v>
      </c>
      <c r="H96" s="6"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6" t="n">
        <v>46275</v>
      </c>
      <c r="H97" s="6" t="n">
        <v>46287</v>
      </c>
      <c r="I97" s="6"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6" t="n">
        <v>46274</v>
      </c>
      <c r="H98" s="6" t="n">
        <v>46287</v>
      </c>
      <c r="I98" s="6"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6" t="n">
        <v>46273</v>
      </c>
      <c r="H99" s="6"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6" t="n">
        <v>46272</v>
      </c>
      <c r="H100" s="6"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6" t="n">
        <v>46271</v>
      </c>
      <c r="H101" s="6"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6" t="n">
        <v>46270</v>
      </c>
      <c r="H102" s="6" t="n">
        <v>46277</v>
      </c>
      <c r="I102" s="6"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6" t="n">
        <v>46269</v>
      </c>
      <c r="H103" s="6" t="n">
        <v>46277</v>
      </c>
      <c r="I103" s="6"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6" t="n">
        <v>46268</v>
      </c>
      <c r="H104" s="6"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6" t="n">
        <v>46267</v>
      </c>
      <c r="H105" s="6"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6" t="n">
        <v>46266</v>
      </c>
      <c r="H106" s="6"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6" t="n">
        <v>46265</v>
      </c>
      <c r="H107" s="6" t="n">
        <v>46277</v>
      </c>
      <c r="I107" s="6"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6" t="n">
        <v>46264</v>
      </c>
      <c r="H108" s="6" t="n">
        <v>46277</v>
      </c>
      <c r="I108" s="6"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6" t="n">
        <v>46263</v>
      </c>
      <c r="H109" s="6"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inlineStr"/>
      <c r="G110" s="6" t="n">
        <v>46262</v>
      </c>
      <c r="H110" s="6"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6" t="n">
        <v>46261</v>
      </c>
      <c r="H111" s="6"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6" t="n">
        <v>46260</v>
      </c>
      <c r="H112" s="6" t="n">
        <v>46267</v>
      </c>
      <c r="I112" s="6"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6" t="n">
        <v>46259</v>
      </c>
      <c r="H113" s="6" t="n">
        <v>46267</v>
      </c>
      <c r="I113" s="6"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6" t="n">
        <v>46258</v>
      </c>
      <c r="H114" s="6"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6" t="n">
        <v>46257</v>
      </c>
      <c r="H115" s="6"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6" t="n">
        <v>46256</v>
      </c>
      <c r="H116" s="6"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6" t="n">
        <v>46255</v>
      </c>
      <c r="H117" s="6" t="n">
        <v>46267</v>
      </c>
      <c r="I117" s="6"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6" t="n">
        <v>46254</v>
      </c>
      <c r="H118" s="6" t="n">
        <v>46267</v>
      </c>
      <c r="I118" s="6"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6" t="n">
        <v>46253</v>
      </c>
      <c r="H119" s="6"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6" t="n">
        <v>46252</v>
      </c>
      <c r="H120" s="6"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6" t="n">
        <v>46251</v>
      </c>
      <c r="H121" s="6" t="n">
        <v>46267</v>
      </c>
      <c r="I121" s="2" t="n"/>
      <c r="J121" s="2" t="n">
        <v>2</v>
      </c>
      <c r="K121" s="2" t="n">
        <v>0</v>
      </c>
      <c r="L121" s="2" t="n">
        <v>161</v>
      </c>
      <c r="M121" s="2" t="inlineStr">
        <is>
          <t>Meter Service scheduled or reactive task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6"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@water-service-dashboard Before testing filters, report the baseline Northstar Water Services dashboard source, date and scope. Confirm 120 unique work orders and all four selectors All. Identify the baseline file that must remain untouched when making the refresh-test copy.</t>
        </is>
      </c>
    </row>
    <row r="3">
      <c r="A3" s="2" t="inlineStr">
        <is>
          <t>Step 2</t>
        </is>
      </c>
      <c r="B3" s="2" t="inlineStr">
        <is>
          <t>EXCEL - PLAN</t>
        </is>
      </c>
      <c r="C3" s="2" t="inlineStr">
        <is>
          <t>EXCEL - PLAN:
@water-service-dashboard Make Dashboard B2:B5 control all six KPIs and three chart summaries with AND logic. All bypasses its dimension. Use COUNTIFS/SUMIFS or SUMPRODUCT with structured table references. Blank owner means unassigned and must not disappear from All. Keep N/A for no closed jobs.
EXCEL - ALLOW EDITING:
@water-service-dashboard Apply the reviewed filter plan and dropdown lists. Keep existing source rows and chart positions. Show the selected scope beside the reporting date and make all charts recalculate from the same selected rows.</t>
        </is>
      </c>
    </row>
    <row r="4">
      <c r="A4" s="2" t="inlineStr">
        <is>
          <t>Step 3</t>
        </is>
      </c>
      <c r="B4" s="2" t="inlineStr">
        <is>
          <t>EXCEL - CHAT ONLY</t>
        </is>
      </c>
      <c r="C4" s="2" t="inlineStr">
        <is>
          <t>EXCEL - CHAT ONLY:
@water-service-dashboard For the dashboard selection Site = Woodlands Hub and all other dimensions All, list the expected six KPI values from tblWorkOrders and verify each chart sum matches the selected total. Do not infer that filtering the worksheet automatically changes formula measures.</t>
        </is>
      </c>
    </row>
    <row r="5">
      <c r="A5" s="2" t="inlineStr">
        <is>
          <t>Step 4</t>
        </is>
      </c>
      <c r="B5" s="2" t="inlineStr">
        <is>
          <t>EXCEL - CHAT ONLY</t>
        </is>
      </c>
      <c r="C5" s="2" t="inlineStr">
        <is>
          <t>EXCEL - CHAT ONLY:
@water-service-dashboard Check two dashboard edge cases without changing source data: Status New with other selectors All; then Site Woodlands Hub, Job_Category Leak Repair, Assigned_To Daniel Lee, Status All. Verify zero closed gives N/A and no selected rows gives zero count/cost with N/A rate. Show how all charts follow the same selection. Restore all selectors to All.</t>
        </is>
      </c>
    </row>
    <row r="6">
      <c r="A6" s="2" t="inlineStr">
        <is>
          <t>Step 6</t>
        </is>
      </c>
      <c r="B6" s="2" t="inlineStr">
        <is>
          <t>EXCEL - CHAT ONLY</t>
        </is>
      </c>
      <c r="C6" s="2" t="inlineStr">
        <is>
          <t>EXCEL - CHAT ONLY:
@water-service-dashboard Verify the sandbox append test for the two new work orders. Reconcile total 122, closed 49, backlog 61, overdue increased by 1, cost increased by S$400 and on-time numerator increased by 1. Confirm no original source record changed and all three charts total 122 with All selections. Compare original IDs, statuses, owners, dates and costs to the saved baseline; all original 120 rows must match.</t>
        </is>
      </c>
    </row>
    <row r="7">
      <c r="A7" s="2" t="inlineStr">
        <is>
          <t>Step 7</t>
        </is>
      </c>
      <c r="B7" s="2" t="inlineStr">
        <is>
          <t>EXCEL - PLAN</t>
        </is>
      </c>
      <c r="C7" s="2" t="inlineStr">
        <is>
          <t>EXCEL - PLAN:
@water-service-dashboard Refresh the existing dashboard for the sandbox 122-row table and same reporting date. Preserve all original source records, both new rows, .Rules, Pareto_* and unrelated sheets. Identify named output replacements and ask before editing; keep one dashboard and three charts.
EXCEL - ALLOW EDITING:
@water-service-dashboard Apply only the reviewed sandbox dashboard rerun. Retain the chosen source/date and make every KPI and chart follow the four filters; reconcile 122 total,61 backlog,51 overdue,49 Closed,31/49 on-time and S$36,227.50. Do not alter the untouched baseline workbook.</t>
        </is>
      </c>
    </row>
    <row r="8">
      <c r="A8" s="2" t="inlineStr">
        <is>
          <t>Step 8</t>
        </is>
      </c>
      <c r="B8" s="2" t="inlineStr">
        <is>
          <t>WORD COPILOT</t>
        </is>
      </c>
      <c r="C8" s="2" t="inlineStr">
        <is>
          <t>WORD COPILOT:
Using only the verified baseline dashboard evidence I paste here, prepare the frozen Northstar Water Services presentation snapshot. Include reporting date, All scope, 120-row baseline, six KPIs, chart values, source workbook link and limitations. Exclude the 122-row sandbox. Keep proposed priorities separate from observed facts.</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inlineStr"/>
    </row>
  </sheetData>
  <autoFilter ref="A1:C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2" t="inlineStr">
        <is>
          <t>## SOURCE AND SCOPE</t>
        </is>
      </c>
    </row>
    <row r="2">
      <c r="A2" s="2" t="inlineStr">
        <is>
          <t>Preserve Work_Orders, tblWorkOrders, Technicians, current Assigned_To values and source IDs.</t>
        </is>
      </c>
    </row>
    <row r="3">
      <c r="A3" s="2" t="inlineStr">
        <is>
          <t>Use the reporting date from Control!B2. State the selected Site, Job_Category, Status and Assigned_To scope beside every report.</t>
        </is>
      </c>
    </row>
    <row r="4">
      <c r="A4" s="2" t="inlineStr">
        <is>
          <t>Backlog excludes Closed and Cancelled. Overdue backlog has Due_Date strictly before Control!B2.</t>
        </is>
      </c>
    </row>
    <row r="5">
      <c r="A5" s="2" t="inlineStr">
        <is>
          <t>On-time closure rate uses Closed rows only, with Closed_Date &lt;= Due_Date. Display N/A when no Closed rows remain.</t>
        </is>
      </c>
    </row>
    <row r="6">
      <c r="A6" s="2" t="inlineStr">
        <is>
          <t>## FORMATS AND VISUALS</t>
        </is>
      </c>
    </row>
    <row r="7">
      <c r="A7" s="2" t="inlineStr">
        <is>
          <t>Display recorded Cost_SGD as S$ with two decimals; keep underlying values exact. Show dates as DD-MMM-YYYY.</t>
        </is>
      </c>
    </row>
    <row r="8">
      <c r="A8" s="2" t="inlineStr">
        <is>
          <t>Use white backgrounds, navy titles, blue and teal accents, readable labels and named units; never use colour alone.</t>
        </is>
      </c>
    </row>
    <row r="9">
      <c r="A9" s="2" t="inlineStr">
        <is>
          <t>## OUTPUT AND REVIEW</t>
        </is>
      </c>
    </row>
    <row r="10">
      <c r="A10" s="2" t="inlineStr">
        <is>
          <t>Use structured table references. Preserve the visible .Rules sheet and unrelated sheets, charts and Prompt_Log.</t>
        </is>
      </c>
    </row>
    <row r="11">
      <c r="A11" s="2" t="inlineStr">
        <is>
          <t>Keep current owners separate from unapproved assignment proposals. Missing facts and approvals remain UNKNOWN.</t>
        </is>
      </c>
    </row>
    <row r="12">
      <c r="A12" s="2" t="inlineStr">
        <is>
          <t>Ask before replacing named output sheets. Reconcile every count, rate and chart against source rows; do not duplicate outputs on rerun.</t>
        </is>
      </c>
    </row>
    <row r="13">
      <c r="A13" s="2">
        <f>"Reporting date: "&amp;TEXT(Control!B2,"yyyy-mm-dd")</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17" customWidth="1" min="3" max="3"/>
    <col width="17" customWidth="1" min="4" max="4"/>
  </cols>
  <sheetData>
    <row r="1">
      <c r="A1" s="1" t="inlineStr">
        <is>
          <t>Northstar Maintenance Dashboard</t>
        </is>
      </c>
      <c r="B1" s="1" t="inlineStr">
        <is>
          <t>Selection</t>
        </is>
      </c>
      <c r="C1" s="1" t="inlineStr">
        <is>
          <t>As at</t>
        </is>
      </c>
      <c r="D1" s="1" t="inlineStr">
        <is>
          <t>2026-09-30</t>
        </is>
      </c>
    </row>
    <row r="2">
      <c r="A2" s="2" t="inlineStr">
        <is>
          <t>Site</t>
        </is>
      </c>
      <c r="B2" s="2" t="inlineStr">
        <is>
          <t>All</t>
        </is>
      </c>
      <c r="C2" s="2" t="n"/>
      <c r="D2" s="2" t="n"/>
    </row>
    <row r="3">
      <c r="A3" s="2" t="inlineStr">
        <is>
          <t>Job_Category</t>
        </is>
      </c>
      <c r="B3" s="2" t="inlineStr">
        <is>
          <t>All</t>
        </is>
      </c>
      <c r="C3" s="2" t="n"/>
      <c r="D3" s="2" t="n"/>
    </row>
    <row r="4">
      <c r="A4" s="2" t="inlineStr">
        <is>
          <t>Status</t>
        </is>
      </c>
      <c r="B4" s="2" t="inlineStr">
        <is>
          <t>All</t>
        </is>
      </c>
      <c r="C4" s="2" t="n"/>
      <c r="D4" s="2" t="n"/>
    </row>
    <row r="5">
      <c r="A5" s="2" t="inlineStr">
        <is>
          <t>Assigned_To</t>
        </is>
      </c>
      <c r="B5" s="2" t="inlineStr">
        <is>
          <t>All</t>
        </is>
      </c>
      <c r="C5" s="2" t="n"/>
      <c r="D5" s="2" t="n"/>
    </row>
    <row r="6">
      <c r="A6" s="2" t="inlineStr">
        <is>
          <t>Measure</t>
        </is>
      </c>
      <c r="B6" s="2" t="inlineStr">
        <is>
          <t>Current selection</t>
        </is>
      </c>
      <c r="C6" s="2" t="n"/>
      <c r="D6" s="2" t="n"/>
    </row>
    <row r="7">
      <c r="A7" s="2" t="inlineStr">
        <is>
          <t>Total work orders</t>
        </is>
      </c>
      <c r="B7" s="2">
        <f>SUMPRODUCT((IF($B$2="All",1,--(tblWorkOrders[Site]=$B$2)))*(IF($B$3="All",1,--(tblWorkOrders[Job_Category]=$B$3)))*(IF($B$4="All",1,--(tblWorkOrders[Status]=$B$4)))*(IF($B$5="All",1,--(tblWorkOrders[Assigned_To]=$B$5)))*--(tblWorkOrders[Work_Order_ID]&lt;&gt;""))</f>
        <v/>
      </c>
      <c r="C7" s="2" t="n"/>
      <c r="D7" s="2" t="n"/>
    </row>
    <row r="8">
      <c r="A8" s="2" t="inlineStr">
        <is>
          <t>Backlog</t>
        </is>
      </c>
      <c r="B8" s="2">
        <f>SUMPRODUCT((IF($B$2="All",1,--(tblWorkOrders[Site]=$B$2)))*(IF($B$3="All",1,--(tblWorkOrders[Job_Category]=$B$3)))*(IF($B$4="All",1,--(tblWorkOrders[Status]=$B$4)))*(IF($B$5="All",1,--(tblWorkOrders[Assigned_To]=$B$5)))*--(tblWorkOrders[Status]&lt;&gt;"Closed")*--(tblWorkOrders[Status]&lt;&gt;"Cancelled"))</f>
        <v/>
      </c>
      <c r="C8" s="2" t="n"/>
      <c r="D8" s="2" t="n"/>
    </row>
    <row r="9">
      <c r="A9" s="2" t="inlineStr">
        <is>
          <t>Overdue backlog</t>
        </is>
      </c>
      <c r="B9" s="2">
        <f>SUMPRODUCT((IF($B$2="All",1,--(tblWorkOrders[Site]=$B$2)))*(IF($B$3="All",1,--(tblWorkOrders[Job_Category]=$B$3)))*(IF($B$4="All",1,--(tblWorkOrders[Status]=$B$4)))*(IF($B$5="All",1,--(tblWorkOrders[Assigned_To]=$B$5)))*--(tblWorkOrders[Status]&lt;&gt;"Closed")*--(tblWorkOrders[Status]&lt;&gt;"Cancelled")*--(tblWorkOrders[Due_Date]&lt;Control!$B$2))</f>
        <v/>
      </c>
      <c r="C9" s="2" t="n"/>
      <c r="D9" s="2" t="n"/>
    </row>
    <row r="10">
      <c r="A10" s="2" t="inlineStr">
        <is>
          <t>Closed</t>
        </is>
      </c>
      <c r="B10" s="2">
        <f>SUMPRODUCT((IF($B$2="All",1,--(tblWorkOrders[Site]=$B$2)))*(IF($B$3="All",1,--(tblWorkOrders[Job_Category]=$B$3)))*(IF($B$4="All",1,--(tblWorkOrders[Status]=$B$4)))*(IF($B$5="All",1,--(tblWorkOrders[Assigned_To]=$B$5)))*--(tblWorkOrders[Status]="Closed"))</f>
        <v/>
      </c>
      <c r="C10" s="2" t="n"/>
      <c r="D10" s="2" t="n"/>
    </row>
    <row r="11">
      <c r="A11" s="2" t="inlineStr">
        <is>
          <t>On-time closure rate</t>
        </is>
      </c>
      <c r="B11" s="7">
        <f>IF(B10=0,"N/A",SUMPRODUCT((IF($B$2="All",1,--(tblWorkOrders[Site]=$B$2)))*(IF($B$3="All",1,--(tblWorkOrders[Job_Category]=$B$3)))*(IF($B$4="All",1,--(tblWorkOrders[Status]=$B$4)))*(IF($B$5="All",1,--(tblWorkOrders[Assigned_To]=$B$5)))*--(tblWorkOrders[Status]="Closed")*--(tblWorkOrders[Closed_Date]&lt;=tblWorkOrders[Due_Date]))/B10)</f>
        <v/>
      </c>
      <c r="C11" s="2" t="n"/>
      <c r="D11" s="2" t="n"/>
    </row>
    <row r="12">
      <c r="A12" s="2" t="inlineStr">
        <is>
          <t>Cost SGD</t>
        </is>
      </c>
      <c r="B12" s="8">
        <f>SUMPRODUCT((IF($B$2="All",1,--(tblWorkOrders[Site]=$B$2)))*(IF($B$3="All",1,--(tblWorkOrders[Job_Category]=$B$3)))*(IF($B$4="All",1,--(tblWorkOrders[Status]=$B$4)))*(IF($B$5="All",1,--(tblWorkOrders[Assigned_To]=$B$5)))*tblWorkOrders[Cost_SGD])</f>
        <v/>
      </c>
      <c r="C12" s="2" t="n"/>
      <c r="D12" s="2" t="n"/>
    </row>
    <row r="13">
      <c r="A13" s="2" t="n"/>
      <c r="B13" s="2" t="n"/>
      <c r="C13" s="2" t="n"/>
      <c r="D13" s="2" t="n"/>
    </row>
    <row r="14">
      <c r="A14" s="2" t="n"/>
      <c r="B14" s="2" t="n"/>
      <c r="C14" s="2" t="n"/>
      <c r="D14" s="2" t="n"/>
    </row>
    <row r="15">
      <c r="A15" s="2" t="inlineStr">
        <is>
          <t>Work orders by status</t>
        </is>
      </c>
      <c r="B15" s="2" t="inlineStr">
        <is>
          <t>Count</t>
        </is>
      </c>
      <c r="C15" s="2" t="n"/>
      <c r="D15" s="2" t="n"/>
    </row>
    <row r="16">
      <c r="A16" s="2" t="inlineStr">
        <is>
          <t>New</t>
        </is>
      </c>
      <c r="B16" s="2">
        <f>SUMPRODUCT((IF($B$2="All",1,--(tblWorkOrders[Site]=$B$2)))*(IF($B$3="All",1,--(tblWorkOrders[Job_Category]=$B$3)))*(IF($B$4="All",1,--(tblWorkOrders[Status]=$B$4)))*(IF($B$5="All",1,--(tblWorkOrders[Assigned_To]=$B$5)))*--(tblWorkOrders[Status]=A16))</f>
        <v/>
      </c>
      <c r="C16" s="2" t="n"/>
      <c r="D16" s="2" t="n"/>
    </row>
    <row r="17">
      <c r="A17" s="2" t="inlineStr">
        <is>
          <t>Assigned</t>
        </is>
      </c>
      <c r="B17" s="2">
        <f>SUMPRODUCT((IF($B$2="All",1,--(tblWorkOrders[Site]=$B$2)))*(IF($B$3="All",1,--(tblWorkOrders[Job_Category]=$B$3)))*(IF($B$4="All",1,--(tblWorkOrders[Status]=$B$4)))*(IF($B$5="All",1,--(tblWorkOrders[Assigned_To]=$B$5)))*--(tblWorkOrders[Status]=A17))</f>
        <v/>
      </c>
      <c r="C17" s="2" t="n"/>
      <c r="D17" s="2" t="n"/>
    </row>
    <row r="18">
      <c r="A18" s="2" t="inlineStr">
        <is>
          <t>In Progress</t>
        </is>
      </c>
      <c r="B18" s="2">
        <f>SUMPRODUCT((IF($B$2="All",1,--(tblWorkOrders[Site]=$B$2)))*(IF($B$3="All",1,--(tblWorkOrders[Job_Category]=$B$3)))*(IF($B$4="All",1,--(tblWorkOrders[Status]=$B$4)))*(IF($B$5="All",1,--(tblWorkOrders[Assigned_To]=$B$5)))*--(tblWorkOrders[Status]=A18))</f>
        <v/>
      </c>
      <c r="C18" s="2" t="n"/>
      <c r="D18" s="2" t="n"/>
    </row>
    <row r="19">
      <c r="A19" s="2" t="inlineStr">
        <is>
          <t>On Hold</t>
        </is>
      </c>
      <c r="B19" s="2">
        <f>SUMPRODUCT((IF($B$2="All",1,--(tblWorkOrders[Site]=$B$2)))*(IF($B$3="All",1,--(tblWorkOrders[Job_Category]=$B$3)))*(IF($B$4="All",1,--(tblWorkOrders[Status]=$B$4)))*(IF($B$5="All",1,--(tblWorkOrders[Assigned_To]=$B$5)))*--(tblWorkOrders[Status]=A19))</f>
        <v/>
      </c>
      <c r="C19" s="2" t="n"/>
      <c r="D19" s="2" t="n"/>
    </row>
    <row r="20">
      <c r="A20" s="2" t="inlineStr">
        <is>
          <t>Closed</t>
        </is>
      </c>
      <c r="B20" s="2">
        <f>SUMPRODUCT((IF($B$2="All",1,--(tblWorkOrders[Site]=$B$2)))*(IF($B$3="All",1,--(tblWorkOrders[Job_Category]=$B$3)))*(IF($B$4="All",1,--(tblWorkOrders[Status]=$B$4)))*(IF($B$5="All",1,--(tblWorkOrders[Assigned_To]=$B$5)))*--(tblWorkOrders[Status]=A20))</f>
        <v/>
      </c>
      <c r="C20" s="2" t="n"/>
      <c r="D20" s="2" t="n"/>
    </row>
    <row r="21">
      <c r="A21" s="2" t="inlineStr">
        <is>
          <t>Cancelled</t>
        </is>
      </c>
      <c r="B21" s="2">
        <f>SUMPRODUCT((IF($B$2="All",1,--(tblWorkOrders[Site]=$B$2)))*(IF($B$3="All",1,--(tblWorkOrders[Job_Category]=$B$3)))*(IF($B$4="All",1,--(tblWorkOrders[Status]=$B$4)))*(IF($B$5="All",1,--(tblWorkOrders[Assigned_To]=$B$5)))*--(tblWorkOrders[Status]=A21))</f>
        <v/>
      </c>
      <c r="C21" s="2" t="n"/>
      <c r="D21" s="2" t="n"/>
    </row>
    <row r="22">
      <c r="A22" s="2" t="n"/>
      <c r="B22" s="2" t="n"/>
      <c r="C22" s="2" t="n"/>
      <c r="D22" s="2" t="n"/>
    </row>
    <row r="23">
      <c r="A23" s="2" t="n"/>
      <c r="B23" s="2" t="n"/>
      <c r="C23" s="2" t="n"/>
      <c r="D23" s="2" t="n"/>
    </row>
    <row r="24">
      <c r="A24" s="2" t="inlineStr">
        <is>
          <t>Work orders by category</t>
        </is>
      </c>
      <c r="B24" s="2" t="inlineStr">
        <is>
          <t>Count</t>
        </is>
      </c>
      <c r="C24" s="2" t="n"/>
      <c r="D24" s="2" t="n"/>
    </row>
    <row r="25">
      <c r="A25" s="2" t="inlineStr">
        <is>
          <t>Leak Repair</t>
        </is>
      </c>
      <c r="B25" s="2">
        <f>SUMPRODUCT((IF($B$2="All",1,--(tblWorkOrders[Site]=$B$2)))*(IF($B$3="All",1,--(tblWorkOrders[Job_Category]=$B$3)))*(IF($B$4="All",1,--(tblWorkOrders[Status]=$B$4)))*(IF($B$5="All",1,--(tblWorkOrders[Assigned_To]=$B$5)))*--(tblWorkOrders[Job_Category]=A25))</f>
        <v/>
      </c>
      <c r="C25" s="2" t="n"/>
      <c r="D25" s="2" t="n"/>
    </row>
    <row r="26">
      <c r="A26" s="2" t="inlineStr">
        <is>
          <t>Valve Repair</t>
        </is>
      </c>
      <c r="B26" s="2">
        <f>SUMPRODUCT((IF($B$2="All",1,--(tblWorkOrders[Site]=$B$2)))*(IF($B$3="All",1,--(tblWorkOrders[Job_Category]=$B$3)))*(IF($B$4="All",1,--(tblWorkOrders[Status]=$B$4)))*(IF($B$5="All",1,--(tblWorkOrders[Assigned_To]=$B$5)))*--(tblWorkOrders[Job_Category]=A26))</f>
        <v/>
      </c>
      <c r="C26" s="2" t="n"/>
      <c r="D26" s="2" t="n"/>
    </row>
    <row r="27">
      <c r="A27" s="2" t="inlineStr">
        <is>
          <t>Pipe Replacement</t>
        </is>
      </c>
      <c r="B27" s="2">
        <f>SUMPRODUCT((IF($B$2="All",1,--(tblWorkOrders[Site]=$B$2)))*(IF($B$3="All",1,--(tblWorkOrders[Job_Category]=$B$3)))*(IF($B$4="All",1,--(tblWorkOrders[Status]=$B$4)))*(IF($B$5="All",1,--(tblWorkOrders[Assigned_To]=$B$5)))*--(tblWorkOrders[Job_Category]=A27))</f>
        <v/>
      </c>
      <c r="C27" s="2" t="n"/>
      <c r="D27" s="2" t="n"/>
    </row>
    <row r="28">
      <c r="A28" s="2" t="inlineStr">
        <is>
          <t>Pump Service</t>
        </is>
      </c>
      <c r="B28" s="2">
        <f>SUMPRODUCT((IF($B$2="All",1,--(tblWorkOrders[Site]=$B$2)))*(IF($B$3="All",1,--(tblWorkOrders[Job_Category]=$B$3)))*(IF($B$4="All",1,--(tblWorkOrders[Status]=$B$4)))*(IF($B$5="All",1,--(tblWorkOrders[Assigned_To]=$B$5)))*--(tblWorkOrders[Job_Category]=A28))</f>
        <v/>
      </c>
      <c r="C28" s="2" t="n"/>
      <c r="D28" s="2" t="n"/>
    </row>
    <row r="29">
      <c r="A29" s="2" t="inlineStr">
        <is>
          <t>Meter Service</t>
        </is>
      </c>
      <c r="B29" s="2">
        <f>SUMPRODUCT((IF($B$2="All",1,--(tblWorkOrders[Site]=$B$2)))*(IF($B$3="All",1,--(tblWorkOrders[Job_Category]=$B$3)))*(IF($B$4="All",1,--(tblWorkOrders[Status]=$B$4)))*(IF($B$5="All",1,--(tblWorkOrders[Assigned_To]=$B$5)))*--(tblWorkOrders[Job_Category]=A29))</f>
        <v/>
      </c>
      <c r="C29" s="2" t="n"/>
      <c r="D29" s="2" t="n"/>
    </row>
    <row r="30">
      <c r="A30" s="2" t="n"/>
      <c r="B30" s="2" t="n"/>
      <c r="C30" s="2" t="n"/>
      <c r="D30" s="2" t="n"/>
    </row>
    <row r="31">
      <c r="A31" s="2" t="n"/>
      <c r="B31" s="2" t="n"/>
      <c r="C31" s="2" t="n"/>
      <c r="D31" s="2" t="n"/>
    </row>
    <row r="32">
      <c r="A32" s="2" t="n"/>
      <c r="B32" s="2" t="n"/>
      <c r="C32" s="2" t="n"/>
      <c r="D32" s="2" t="n"/>
    </row>
    <row r="33">
      <c r="A33" s="2" t="inlineStr">
        <is>
          <t>Work orders by site</t>
        </is>
      </c>
      <c r="B33" s="2" t="inlineStr">
        <is>
          <t>Count</t>
        </is>
      </c>
      <c r="C33" s="2" t="n"/>
      <c r="D33" s="2" t="n"/>
    </row>
    <row r="34">
      <c r="A34" s="2" t="inlineStr">
        <is>
          <t>Woodlands Hub</t>
        </is>
      </c>
      <c r="B34" s="2">
        <f>SUMPRODUCT((IF($B$2="All",1,--(tblWorkOrders[Site]=$B$2)))*(IF($B$3="All",1,--(tblWorkOrders[Job_Category]=$B$3)))*(IF($B$4="All",1,--(tblWorkOrders[Status]=$B$4)))*(IF($B$5="All",1,--(tblWorkOrders[Assigned_To]=$B$5)))*--(tblWorkOrders[Site]=A34))</f>
        <v/>
      </c>
      <c r="C34" s="2" t="n"/>
      <c r="D34" s="2" t="n"/>
    </row>
    <row r="35">
      <c r="A35" s="2" t="inlineStr">
        <is>
          <t>Jurong Depot</t>
        </is>
      </c>
      <c r="B35" s="2">
        <f>SUMPRODUCT((IF($B$2="All",1,--(tblWorkOrders[Site]=$B$2)))*(IF($B$3="All",1,--(tblWorkOrders[Job_Category]=$B$3)))*(IF($B$4="All",1,--(tblWorkOrders[Status]=$B$4)))*(IF($B$5="All",1,--(tblWorkOrders[Assigned_To]=$B$5)))*--(tblWorkOrders[Site]=A35))</f>
        <v/>
      </c>
      <c r="C35" s="2" t="n"/>
      <c r="D35" s="2" t="n"/>
    </row>
    <row r="36">
      <c r="A36" s="2" t="inlineStr">
        <is>
          <t>Tampines Centre</t>
        </is>
      </c>
      <c r="B36" s="2">
        <f>SUMPRODUCT((IF($B$2="All",1,--(tblWorkOrders[Site]=$B$2)))*(IF($B$3="All",1,--(tblWorkOrders[Job_Category]=$B$3)))*(IF($B$4="All",1,--(tblWorkOrders[Status]=$B$4)))*(IF($B$5="All",1,--(tblWorkOrders[Assigned_To]=$B$5)))*--(tblWorkOrders[Site]=A36))</f>
        <v/>
      </c>
      <c r="C36" s="2" t="n"/>
      <c r="D36" s="2" t="n"/>
    </row>
    <row r="37">
      <c r="A37" s="2" t="inlineStr">
        <is>
          <t>Paya Lebar Office</t>
        </is>
      </c>
      <c r="B37" s="2">
        <f>SUMPRODUCT((IF($B$2="All",1,--(tblWorkOrders[Site]=$B$2)))*(IF($B$3="All",1,--(tblWorkOrders[Job_Category]=$B$3)))*(IF($B$4="All",1,--(tblWorkOrders[Status]=$B$4)))*(IF($B$5="All",1,--(tblWorkOrders[Assigned_To]=$B$5)))*--(tblWorkOrders[Site]=A37))</f>
        <v/>
      </c>
      <c r="C37" s="2" t="n"/>
      <c r="D37" s="2" t="n"/>
    </row>
    <row r="38">
      <c r="A38" s="2" t="inlineStr">
        <is>
          <t>Changi Workshop</t>
        </is>
      </c>
      <c r="B38" s="2">
        <f>SUMPRODUCT((IF($B$2="All",1,--(tblWorkOrders[Site]=$B$2)))*(IF($B$3="All",1,--(tblWorkOrders[Job_Category]=$B$3)))*(IF($B$4="All",1,--(tblWorkOrders[Status]=$B$4)))*(IF($B$5="All",1,--(tblWorkOrders[Assigned_To]=$B$5)))*--(tblWorkOrders[Site]=A38))</f>
        <v/>
      </c>
      <c r="C38" s="2" t="n"/>
      <c r="D38" s="2" t="n"/>
    </row>
  </sheetData>
  <autoFilter ref="A1:D38"/>
  <dataValidations count="4">
    <dataValidation sqref="B2" showDropDown="0" showInputMessage="0" showErrorMessage="0" allowBlank="0" type="list">
      <formula1>'Filter_Lists'!$A$1:$A$6</formula1>
    </dataValidation>
    <dataValidation sqref="B3" showDropDown="0" showInputMessage="0" showErrorMessage="0" allowBlank="0" type="list">
      <formula1>'Filter_Lists'!$B$1:$B$6</formula1>
    </dataValidation>
    <dataValidation sqref="B4" showDropDown="0" showInputMessage="0" showErrorMessage="0" allowBlank="0" type="list">
      <formula1>'Filter_Lists'!$C$1:$C$7</formula1>
    </dataValidation>
    <dataValidation sqref="B5" showDropDown="0" showInputMessage="0" showErrorMessage="0" allowBlank="0" type="list">
      <formula1>'Filter_Lists'!$D$1:$D$10</formula1>
    </dataValidation>
  </dataValidation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All</t>
        </is>
      </c>
      <c r="B1" t="inlineStr">
        <is>
          <t>All</t>
        </is>
      </c>
      <c r="C1" t="inlineStr">
        <is>
          <t>All</t>
        </is>
      </c>
      <c r="D1" t="inlineStr">
        <is>
          <t>All</t>
        </is>
      </c>
    </row>
    <row r="2">
      <c r="A2" t="inlineStr">
        <is>
          <t>Woodlands Hub</t>
        </is>
      </c>
      <c r="B2" t="inlineStr">
        <is>
          <t>Leak Repair</t>
        </is>
      </c>
      <c r="C2" t="inlineStr">
        <is>
          <t>New</t>
        </is>
      </c>
      <c r="D2" t="inlineStr">
        <is>
          <t>Aisha Tan</t>
        </is>
      </c>
    </row>
    <row r="3">
      <c r="A3" t="inlineStr">
        <is>
          <t>Jurong Depot</t>
        </is>
      </c>
      <c r="B3" t="inlineStr">
        <is>
          <t>Valve Repair</t>
        </is>
      </c>
      <c r="C3" t="inlineStr">
        <is>
          <t>Assigned</t>
        </is>
      </c>
      <c r="D3" t="inlineStr">
        <is>
          <t>Ben Lim</t>
        </is>
      </c>
    </row>
    <row r="4">
      <c r="A4" t="inlineStr">
        <is>
          <t>Tampines Centre</t>
        </is>
      </c>
      <c r="B4" t="inlineStr">
        <is>
          <t>Pipe Replacement</t>
        </is>
      </c>
      <c r="C4" t="inlineStr">
        <is>
          <t>In Progress</t>
        </is>
      </c>
      <c r="D4" t="inlineStr">
        <is>
          <t>Chloe Goh</t>
        </is>
      </c>
    </row>
    <row r="5">
      <c r="A5" t="inlineStr">
        <is>
          <t>Paya Lebar Office</t>
        </is>
      </c>
      <c r="B5" t="inlineStr">
        <is>
          <t>Pump Service</t>
        </is>
      </c>
      <c r="C5" t="inlineStr">
        <is>
          <t>On Hold</t>
        </is>
      </c>
      <c r="D5" t="inlineStr">
        <is>
          <t>Daniel Lee</t>
        </is>
      </c>
    </row>
    <row r="6">
      <c r="A6" t="inlineStr">
        <is>
          <t>Changi Workshop</t>
        </is>
      </c>
      <c r="B6" t="inlineStr">
        <is>
          <t>Meter Service</t>
        </is>
      </c>
      <c r="C6" t="inlineStr">
        <is>
          <t>Closed</t>
        </is>
      </c>
      <c r="D6" t="inlineStr">
        <is>
          <t>Elena Ong</t>
        </is>
      </c>
    </row>
    <row r="7">
      <c r="C7" t="inlineStr">
        <is>
          <t>Cancelled</t>
        </is>
      </c>
      <c r="D7" t="inlineStr">
        <is>
          <t>Farid Rahman</t>
        </is>
      </c>
    </row>
    <row r="8">
      <c r="D8" t="inlineStr">
        <is>
          <t>Grace Ng</t>
        </is>
      </c>
    </row>
    <row r="9">
      <c r="D9" t="inlineStr">
        <is>
          <t>Hari Kumar</t>
        </is>
      </c>
    </row>
    <row r="1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2026-10-13T18:19:29Z</dcterms:created>
  <dcterms:modified xmlns:dcterms="http://purl.org/dc/terms/" xmlns:xsi="http://www.w3.org/2001/XMLSchema-instance" xsi:type="dcterms:W3CDTF">2026-10-13T18:19:29Z</dcterms:modified>
</cp:coreProperties>
</file>