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HR cases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HR cases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HR cases by department</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6"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6" t="n">
        <v>46290</v>
      </c>
      <c r="H2" s="6" t="n">
        <v>46297</v>
      </c>
      <c r="I2" s="6"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6" t="n">
        <v>46289</v>
      </c>
      <c r="H3" s="6" t="n">
        <v>46297</v>
      </c>
      <c r="I3" s="6"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6" t="n">
        <v>46288</v>
      </c>
      <c r="H4" s="6"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6" t="n">
        <v>46287</v>
      </c>
      <c r="H5" s="6"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6" t="n">
        <v>46286</v>
      </c>
      <c r="H6" s="6"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6" t="n">
        <v>46285</v>
      </c>
      <c r="H7" s="6" t="n">
        <v>46297</v>
      </c>
      <c r="I7" s="6"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6" t="n">
        <v>46284</v>
      </c>
      <c r="H8" s="6" t="n">
        <v>46297</v>
      </c>
      <c r="I8" s="6"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6" t="n">
        <v>46283</v>
      </c>
      <c r="H9" s="6"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6" t="n">
        <v>46282</v>
      </c>
      <c r="H10" s="6"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6" t="n">
        <v>46281</v>
      </c>
      <c r="H11" s="6"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6" t="n">
        <v>46280</v>
      </c>
      <c r="H12" s="6" t="n">
        <v>46287</v>
      </c>
      <c r="I12" s="6"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6" t="n">
        <v>46278</v>
      </c>
      <c r="H14" s="6"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6" t="n">
        <v>46277</v>
      </c>
      <c r="H15" s="6"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6" t="n">
        <v>46276</v>
      </c>
      <c r="H16" s="6"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6" t="n">
        <v>46274</v>
      </c>
      <c r="H18" s="6" t="n">
        <v>46287</v>
      </c>
      <c r="I18" s="6"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6" t="n">
        <v>46273</v>
      </c>
      <c r="H19" s="6"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6" t="n">
        <v>46272</v>
      </c>
      <c r="H20" s="6"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6" t="n">
        <v>46271</v>
      </c>
      <c r="H21" s="6"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6" t="n">
        <v>46270</v>
      </c>
      <c r="H22" s="6" t="n">
        <v>46277</v>
      </c>
      <c r="I22" s="6"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6" t="n">
        <v>46268</v>
      </c>
      <c r="H24" s="6"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6" t="n">
        <v>46267</v>
      </c>
      <c r="H25" s="6"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6" t="n">
        <v>46266</v>
      </c>
      <c r="H26" s="6"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6" t="n">
        <v>46265</v>
      </c>
      <c r="H27" s="6" t="n">
        <v>46277</v>
      </c>
      <c r="I27" s="6"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6" t="n">
        <v>46264</v>
      </c>
      <c r="H28" s="6" t="n">
        <v>46277</v>
      </c>
      <c r="I28" s="6"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6" t="n">
        <v>46263</v>
      </c>
      <c r="H29" s="6"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6" t="n">
        <v>46262</v>
      </c>
      <c r="H30" s="6"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6" t="n">
        <v>46261</v>
      </c>
      <c r="H31" s="6"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6" t="n">
        <v>46260</v>
      </c>
      <c r="H32" s="6" t="n">
        <v>46267</v>
      </c>
      <c r="I32" s="6"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6" t="n">
        <v>46258</v>
      </c>
      <c r="H34" s="6"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6" t="n">
        <v>46257</v>
      </c>
      <c r="H35" s="6"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6" t="n">
        <v>46256</v>
      </c>
      <c r="H36" s="6"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6" t="n">
        <v>46254</v>
      </c>
      <c r="H38" s="6" t="n">
        <v>46267</v>
      </c>
      <c r="I38" s="6"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6" t="n">
        <v>46253</v>
      </c>
      <c r="H39" s="6"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6" t="n">
        <v>46252</v>
      </c>
      <c r="H40" s="6"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6" t="n">
        <v>46251</v>
      </c>
      <c r="H41" s="6"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6" t="n">
        <v>46250</v>
      </c>
      <c r="H42" s="6" t="n">
        <v>46257</v>
      </c>
      <c r="I42" s="6"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6" t="n">
        <v>46249</v>
      </c>
      <c r="H43" s="6" t="n">
        <v>46257</v>
      </c>
      <c r="I43" s="6"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6" t="n">
        <v>46248</v>
      </c>
      <c r="H44" s="6"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6" t="n">
        <v>46247</v>
      </c>
      <c r="H45" s="6"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6" t="n">
        <v>46246</v>
      </c>
      <c r="H46" s="6"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6" t="n">
        <v>46244</v>
      </c>
      <c r="H48" s="6" t="n">
        <v>46257</v>
      </c>
      <c r="I48" s="6"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6" t="n">
        <v>46243</v>
      </c>
      <c r="H49" s="6"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6" t="n">
        <v>46242</v>
      </c>
      <c r="H50" s="6"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6" t="n">
        <v>46241</v>
      </c>
      <c r="H51" s="6"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6" t="n">
        <v>46240</v>
      </c>
      <c r="H52" s="6" t="n">
        <v>46247</v>
      </c>
      <c r="I52" s="6"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6" t="n">
        <v>46238</v>
      </c>
      <c r="H54" s="6"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6" t="n">
        <v>46237</v>
      </c>
      <c r="H55" s="6"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6" t="n">
        <v>46236</v>
      </c>
      <c r="H56" s="6"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6" t="n">
        <v>46234</v>
      </c>
      <c r="H58" s="6" t="n">
        <v>46247</v>
      </c>
      <c r="I58" s="6"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6" t="n">
        <v>46233</v>
      </c>
      <c r="H59" s="6"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6" t="n">
        <v>46232</v>
      </c>
      <c r="H60" s="6"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6" t="n">
        <v>46231</v>
      </c>
      <c r="H61" s="6"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6" t="n">
        <v>46230</v>
      </c>
      <c r="H62" s="6" t="n">
        <v>46237</v>
      </c>
      <c r="I62" s="6"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6" t="n">
        <v>46228</v>
      </c>
      <c r="H64" s="6"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6" t="n">
        <v>46227</v>
      </c>
      <c r="H65" s="6"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6" t="n">
        <v>46226</v>
      </c>
      <c r="H66" s="6"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6" t="n">
        <v>46225</v>
      </c>
      <c r="H67" s="6" t="n">
        <v>46237</v>
      </c>
      <c r="I67" s="6"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6" t="n">
        <v>46224</v>
      </c>
      <c r="H68" s="6" t="n">
        <v>46237</v>
      </c>
      <c r="I68" s="6"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6" t="n">
        <v>46223</v>
      </c>
      <c r="H69" s="6"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6" t="n">
        <v>46222</v>
      </c>
      <c r="H70" s="6"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6" t="n">
        <v>46221</v>
      </c>
      <c r="H71" s="6"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6" t="n">
        <v>46220</v>
      </c>
      <c r="H72" s="6" t="n">
        <v>46227</v>
      </c>
      <c r="I72" s="6"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6" t="n">
        <v>46218</v>
      </c>
      <c r="H74" s="6"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6" t="n">
        <v>46217</v>
      </c>
      <c r="H75" s="6"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6" t="n">
        <v>46216</v>
      </c>
      <c r="H76" s="6"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6" t="n">
        <v>46214</v>
      </c>
      <c r="H78" s="6" t="n">
        <v>46227</v>
      </c>
      <c r="I78" s="6"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6" t="n">
        <v>46213</v>
      </c>
      <c r="H79" s="6"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6" t="n">
        <v>46212</v>
      </c>
      <c r="H80" s="6"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6" t="n">
        <v>46211</v>
      </c>
      <c r="H81" s="6"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6" t="n">
        <v>46290</v>
      </c>
      <c r="H82" s="6" t="n">
        <v>46297</v>
      </c>
      <c r="I82" s="6"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6" t="n">
        <v>46289</v>
      </c>
      <c r="H83" s="6" t="n">
        <v>46297</v>
      </c>
      <c r="I83" s="6"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6" t="n">
        <v>46288</v>
      </c>
      <c r="H84" s="6"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6" t="n">
        <v>46287</v>
      </c>
      <c r="H85" s="6"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6" t="n">
        <v>46286</v>
      </c>
      <c r="H86" s="6"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6" t="n">
        <v>46284</v>
      </c>
      <c r="H88" s="6" t="n">
        <v>46297</v>
      </c>
      <c r="I88" s="6"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6" t="n">
        <v>46283</v>
      </c>
      <c r="H89" s="6"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6" t="n">
        <v>46282</v>
      </c>
      <c r="H90" s="6"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6" t="n">
        <v>46281</v>
      </c>
      <c r="H91" s="6"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6" t="n">
        <v>46280</v>
      </c>
      <c r="H92" s="6" t="n">
        <v>46287</v>
      </c>
      <c r="I92" s="6"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6" t="n">
        <v>46279</v>
      </c>
      <c r="H93" s="6" t="n">
        <v>46287</v>
      </c>
      <c r="I93" s="6"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6" t="n">
        <v>46278</v>
      </c>
      <c r="H94" s="6"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6" t="n">
        <v>46277</v>
      </c>
      <c r="H95" s="6"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6" t="n">
        <v>46276</v>
      </c>
      <c r="H96" s="6"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6" t="n">
        <v>46274</v>
      </c>
      <c r="H98" s="6" t="n">
        <v>46287</v>
      </c>
      <c r="I98" s="6"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6" t="n">
        <v>46273</v>
      </c>
      <c r="H99" s="6"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6" t="n">
        <v>46266</v>
      </c>
      <c r="H106" s="6"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6" t="n">
        <v>46262</v>
      </c>
      <c r="H110" s="6"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6" t="n">
        <v>46258</v>
      </c>
      <c r="H114" s="6"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6" t="n">
        <v>46257</v>
      </c>
      <c r="H115" s="6"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MICROSOFT 365 COPILOT WEB</t>
        </is>
      </c>
      <c r="C2" s="2" t="inlineStr">
        <is>
          <t>MICROSOFT 365 COPILOT WEB:
Using only the attached Lumina_HR_Policy_Handbook.docx, list the employee HR questions it answers, with the section number for each. Then list common HR questions it does not answer, which an HR agent must treat as UNKNOWN. Do not invent policy, amounts or approvers.</t>
        </is>
      </c>
    </row>
    <row r="3">
      <c r="A3" s="2" t="inlineStr">
        <is>
          <t>Step 5</t>
        </is>
      </c>
      <c r="B3" s="2" t="inlineStr">
        <is>
          <t>AGENT BUILDER - DESCRIBE</t>
        </is>
      </c>
      <c r="C3" s="2" t="inlineStr">
        <is>
          <t>AGENT BUILDER - DESCRIBE:
Create a private agent called Lumina HR Policy Agent for employees of Lumina Living, a fictional company. It answers HR questions about annual and medical leave, claims, benefits, training, flexible work, onboarding and payroll using only the HR Policy Handbook, and gives HR case figures from the verified 30 September 2026 snapshot. Cite the handbook section in every answer and say UNKNOWN when the files do not contain the answer. Never approve requests, send messages, change records or reveal another employee’s personal data.</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HR_Cases, tblHRCases, HR_Officers, current Assigned_To values and source IDs.</t>
        </is>
      </c>
    </row>
    <row r="3">
      <c r="A3" s="2" t="inlineStr">
        <is>
          <t>Use the reporting date from Control!B2. State the selected Department, Request_Type,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Lumina HR Service Dashboard</t>
        </is>
      </c>
      <c r="B1" s="1" t="inlineStr">
        <is>
          <t>Selection</t>
        </is>
      </c>
      <c r="C1" s="1" t="inlineStr">
        <is>
          <t>As at</t>
        </is>
      </c>
      <c r="D1" s="1" t="inlineStr">
        <is>
          <t>2026-09-30</t>
        </is>
      </c>
    </row>
    <row r="2">
      <c r="A2" s="2" t="inlineStr">
        <is>
          <t>Department</t>
        </is>
      </c>
      <c r="B2" s="2" t="inlineStr">
        <is>
          <t>All</t>
        </is>
      </c>
      <c r="C2" s="2" t="n"/>
      <c r="D2" s="2" t="n"/>
    </row>
    <row r="3">
      <c r="A3" s="2" t="inlineStr">
        <is>
          <t>Request_Type</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HR cases</t>
        </is>
      </c>
      <c r="B7" s="2">
        <f>SUMPRODUCT((IF($B$2="All",1,--(tblHRCases[Department]=$B$2)))*(IF($B$3="All",1,--(tblHRCases[Request_Type]=$B$3)))*(IF($B$4="All",1,--(tblHRCases[Status]=$B$4)))*(IF($B$5="All",1,--(tblHRCases[Assigned_To]=$B$5)))*--(tblHRCases[Case_ID]&lt;&gt;""))</f>
        <v/>
      </c>
      <c r="C7" s="2" t="n"/>
      <c r="D7" s="2" t="n"/>
    </row>
    <row r="8">
      <c r="A8" s="2" t="inlineStr">
        <is>
          <t>Backlog</t>
        </is>
      </c>
      <c r="B8" s="2">
        <f>SUMPRODUCT((IF($B$2="All",1,--(tblHRCases[Department]=$B$2)))*(IF($B$3="All",1,--(tblHRCases[Request_Type]=$B$3)))*(IF($B$4="All",1,--(tblHRCases[Status]=$B$4)))*(IF($B$5="All",1,--(tblHRCases[Assigned_To]=$B$5)))*--(tblHRCases[Status]&lt;&gt;"Closed")*--(tblHRCases[Status]&lt;&gt;"Cancelled"))</f>
        <v/>
      </c>
      <c r="C8" s="2" t="n"/>
      <c r="D8" s="2" t="n"/>
    </row>
    <row r="9">
      <c r="A9" s="2" t="inlineStr">
        <is>
          <t>Overdue backlog</t>
        </is>
      </c>
      <c r="B9" s="2">
        <f>SUMPRODUCT((IF($B$2="All",1,--(tblHRCases[Department]=$B$2)))*(IF($B$3="All",1,--(tblHRCases[Request_Type]=$B$3)))*(IF($B$4="All",1,--(tblHRCases[Status]=$B$4)))*(IF($B$5="All",1,--(tblHRCases[Assigned_To]=$B$5)))*--(tblHRCases[Status]&lt;&gt;"Closed")*--(tblHRCases[Status]&lt;&gt;"Cancelled")*--(tblHRCases[Due_Date]&lt;Control!$B$2))</f>
        <v/>
      </c>
      <c r="C9" s="2" t="n"/>
      <c r="D9" s="2" t="n"/>
    </row>
    <row r="10">
      <c r="A10" s="2" t="inlineStr">
        <is>
          <t>Closed</t>
        </is>
      </c>
      <c r="B10" s="2">
        <f>SUMPRODUCT((IF($B$2="All",1,--(tblHRCases[Department]=$B$2)))*(IF($B$3="All",1,--(tblHRCases[Request_Type]=$B$3)))*(IF($B$4="All",1,--(tblHRCases[Status]=$B$4)))*(IF($B$5="All",1,--(tblHRCases[Assigned_To]=$B$5)))*--(tblHRCases[Status]="Closed"))</f>
        <v/>
      </c>
      <c r="C10" s="2" t="n"/>
      <c r="D10" s="2" t="n"/>
    </row>
    <row r="11">
      <c r="A11" s="2" t="inlineStr">
        <is>
          <t>On-time closure rate</t>
        </is>
      </c>
      <c r="B11" s="7">
        <f>IF(B10=0,"N/A",SUMPRODUCT((IF($B$2="All",1,--(tblHRCases[Department]=$B$2)))*(IF($B$3="All",1,--(tblHRCases[Request_Type]=$B$3)))*(IF($B$4="All",1,--(tblHRCases[Status]=$B$4)))*(IF($B$5="All",1,--(tblHRCases[Assigned_To]=$B$5)))*--(tblHRCases[Status]="Closed")*--(tblHRCases[Closed_Date]&lt;=tblHRCases[Due_Date]))/B10)</f>
        <v/>
      </c>
      <c r="C11" s="2" t="n"/>
      <c r="D11" s="2" t="n"/>
    </row>
    <row r="12">
      <c r="A12" s="2" t="inlineStr">
        <is>
          <t>Cost SGD</t>
        </is>
      </c>
      <c r="B12" s="8">
        <f>SUMPRODUCT((IF($B$2="All",1,--(tblHRCases[Department]=$B$2)))*(IF($B$3="All",1,--(tblHRCases[Request_Type]=$B$3)))*(IF($B$4="All",1,--(tblHRCases[Status]=$B$4)))*(IF($B$5="All",1,--(tblHRCases[Assigned_To]=$B$5)))*tblHRCases[Cost_SGD])</f>
        <v/>
      </c>
      <c r="C12" s="2" t="n"/>
      <c r="D12" s="2" t="n"/>
    </row>
    <row r="13">
      <c r="A13" s="2" t="n"/>
      <c r="B13" s="2" t="n"/>
      <c r="C13" s="2" t="n"/>
      <c r="D13" s="2" t="n"/>
    </row>
    <row r="14">
      <c r="A14" s="2" t="n"/>
      <c r="B14" s="2" t="n"/>
      <c r="C14" s="2" t="n"/>
      <c r="D14" s="2" t="n"/>
    </row>
    <row r="15">
      <c r="A15" s="2" t="inlineStr">
        <is>
          <t>HR cases by status</t>
        </is>
      </c>
      <c r="B15" s="2" t="inlineStr">
        <is>
          <t>Count</t>
        </is>
      </c>
      <c r="C15" s="2" t="n"/>
      <c r="D15" s="2" t="n"/>
    </row>
    <row r="16">
      <c r="A16" s="2" t="inlineStr">
        <is>
          <t>New</t>
        </is>
      </c>
      <c r="B16" s="2">
        <f>SUMPRODUCT((IF($B$2="All",1,--(tblHRCases[Department]=$B$2)))*(IF($B$3="All",1,--(tblHRCases[Request_Type]=$B$3)))*(IF($B$4="All",1,--(tblHRCases[Status]=$B$4)))*(IF($B$5="All",1,--(tblHRCases[Assigned_To]=$B$5)))*--(tblHRCases[Status]=A16))</f>
        <v/>
      </c>
      <c r="C16" s="2" t="n"/>
      <c r="D16" s="2" t="n"/>
    </row>
    <row r="17">
      <c r="A17" s="2" t="inlineStr">
        <is>
          <t>Assigned</t>
        </is>
      </c>
      <c r="B17" s="2">
        <f>SUMPRODUCT((IF($B$2="All",1,--(tblHRCases[Department]=$B$2)))*(IF($B$3="All",1,--(tblHRCases[Request_Type]=$B$3)))*(IF($B$4="All",1,--(tblHRCases[Status]=$B$4)))*(IF($B$5="All",1,--(tblHRCases[Assigned_To]=$B$5)))*--(tblHRCases[Status]=A17))</f>
        <v/>
      </c>
      <c r="C17" s="2" t="n"/>
      <c r="D17" s="2" t="n"/>
    </row>
    <row r="18">
      <c r="A18" s="2" t="inlineStr">
        <is>
          <t>In Progress</t>
        </is>
      </c>
      <c r="B18" s="2">
        <f>SUMPRODUCT((IF($B$2="All",1,--(tblHRCases[Department]=$B$2)))*(IF($B$3="All",1,--(tblHRCases[Request_Type]=$B$3)))*(IF($B$4="All",1,--(tblHRCases[Status]=$B$4)))*(IF($B$5="All",1,--(tblHRCases[Assigned_To]=$B$5)))*--(tblHRCases[Status]=A18))</f>
        <v/>
      </c>
      <c r="C18" s="2" t="n"/>
      <c r="D18" s="2" t="n"/>
    </row>
    <row r="19">
      <c r="A19" s="2" t="inlineStr">
        <is>
          <t>On Hold</t>
        </is>
      </c>
      <c r="B19" s="2">
        <f>SUMPRODUCT((IF($B$2="All",1,--(tblHRCases[Department]=$B$2)))*(IF($B$3="All",1,--(tblHRCases[Request_Type]=$B$3)))*(IF($B$4="All",1,--(tblHRCases[Status]=$B$4)))*(IF($B$5="All",1,--(tblHRCases[Assigned_To]=$B$5)))*--(tblHRCases[Status]=A19))</f>
        <v/>
      </c>
      <c r="C19" s="2" t="n"/>
      <c r="D19" s="2" t="n"/>
    </row>
    <row r="20">
      <c r="A20" s="2" t="inlineStr">
        <is>
          <t>Closed</t>
        </is>
      </c>
      <c r="B20" s="2">
        <f>SUMPRODUCT((IF($B$2="All",1,--(tblHRCases[Department]=$B$2)))*(IF($B$3="All",1,--(tblHRCases[Request_Type]=$B$3)))*(IF($B$4="All",1,--(tblHRCases[Status]=$B$4)))*(IF($B$5="All",1,--(tblHRCases[Assigned_To]=$B$5)))*--(tblHRCases[Status]=A20))</f>
        <v/>
      </c>
      <c r="C20" s="2" t="n"/>
      <c r="D20" s="2" t="n"/>
    </row>
    <row r="21">
      <c r="A21" s="2" t="inlineStr">
        <is>
          <t>Cancelled</t>
        </is>
      </c>
      <c r="B21" s="2">
        <f>SUMPRODUCT((IF($B$2="All",1,--(tblHRCases[Department]=$B$2)))*(IF($B$3="All",1,--(tblHRCases[Request_Type]=$B$3)))*(IF($B$4="All",1,--(tblHRCases[Status]=$B$4)))*(IF($B$5="All",1,--(tblHRCases[Assigned_To]=$B$5)))*--(tblHRCases[Status]=A21))</f>
        <v/>
      </c>
      <c r="C21" s="2" t="n"/>
      <c r="D21" s="2" t="n"/>
    </row>
    <row r="22">
      <c r="A22" s="2" t="n"/>
      <c r="B22" s="2" t="n"/>
      <c r="C22" s="2" t="n"/>
      <c r="D22" s="2" t="n"/>
    </row>
    <row r="23">
      <c r="A23" s="2" t="n"/>
      <c r="B23" s="2" t="n"/>
      <c r="C23" s="2" t="n"/>
      <c r="D23" s="2" t="n"/>
    </row>
    <row r="24">
      <c r="A24" s="2" t="inlineStr">
        <is>
          <t>HR cases by category</t>
        </is>
      </c>
      <c r="B24" s="2" t="inlineStr">
        <is>
          <t>Count</t>
        </is>
      </c>
      <c r="C24" s="2" t="n"/>
      <c r="D24" s="2" t="n"/>
    </row>
    <row r="25">
      <c r="A25" s="2" t="inlineStr">
        <is>
          <t>Leave Request</t>
        </is>
      </c>
      <c r="B25" s="2">
        <f>SUMPRODUCT((IF($B$2="All",1,--(tblHRCases[Department]=$B$2)))*(IF($B$3="All",1,--(tblHRCases[Request_Type]=$B$3)))*(IF($B$4="All",1,--(tblHRCases[Status]=$B$4)))*(IF($B$5="All",1,--(tblHRCases[Assigned_To]=$B$5)))*--(tblHRCases[Request_Type]=A25))</f>
        <v/>
      </c>
      <c r="C25" s="2" t="n"/>
      <c r="D25" s="2" t="n"/>
    </row>
    <row r="26">
      <c r="A26" s="2" t="inlineStr">
        <is>
          <t>Training Request</t>
        </is>
      </c>
      <c r="B26" s="2">
        <f>SUMPRODUCT((IF($B$2="All",1,--(tblHRCases[Department]=$B$2)))*(IF($B$3="All",1,--(tblHRCases[Request_Type]=$B$3)))*(IF($B$4="All",1,--(tblHRCases[Status]=$B$4)))*(IF($B$5="All",1,--(tblHRCases[Assigned_To]=$B$5)))*--(tblHRCases[Request_Type]=A26))</f>
        <v/>
      </c>
      <c r="C26" s="2" t="n"/>
      <c r="D26" s="2" t="n"/>
    </row>
    <row r="27">
      <c r="A27" s="2" t="inlineStr">
        <is>
          <t>Onboarding</t>
        </is>
      </c>
      <c r="B27" s="2">
        <f>SUMPRODUCT((IF($B$2="All",1,--(tblHRCases[Department]=$B$2)))*(IF($B$3="All",1,--(tblHRCases[Request_Type]=$B$3)))*(IF($B$4="All",1,--(tblHRCases[Status]=$B$4)))*(IF($B$5="All",1,--(tblHRCases[Assigned_To]=$B$5)))*--(tblHRCases[Request_Type]=A27))</f>
        <v/>
      </c>
      <c r="C27" s="2" t="n"/>
      <c r="D27" s="2" t="n"/>
    </row>
    <row r="28">
      <c r="A28" s="2" t="inlineStr">
        <is>
          <t>Payroll Query</t>
        </is>
      </c>
      <c r="B28" s="2">
        <f>SUMPRODUCT((IF($B$2="All",1,--(tblHRCases[Department]=$B$2)))*(IF($B$3="All",1,--(tblHRCases[Request_Type]=$B$3)))*(IF($B$4="All",1,--(tblHRCases[Status]=$B$4)))*(IF($B$5="All",1,--(tblHRCases[Assigned_To]=$B$5)))*--(tblHRCases[Request_Type]=A28))</f>
        <v/>
      </c>
      <c r="C28" s="2" t="n"/>
      <c r="D28" s="2" t="n"/>
    </row>
    <row r="29">
      <c r="A29" s="2" t="inlineStr">
        <is>
          <t>Benefits Claim</t>
        </is>
      </c>
      <c r="B29" s="2">
        <f>SUMPRODUCT((IF($B$2="All",1,--(tblHRCases[Department]=$B$2)))*(IF($B$3="All",1,--(tblHRCases[Request_Type]=$B$3)))*(IF($B$4="All",1,--(tblHRCases[Status]=$B$4)))*(IF($B$5="All",1,--(tblHRCases[Assigned_To]=$B$5)))*--(tblHRCases[Request_Type]=A29))</f>
        <v/>
      </c>
      <c r="C29" s="2" t="n"/>
      <c r="D29" s="2" t="n"/>
    </row>
    <row r="30">
      <c r="A30" s="2" t="n"/>
      <c r="B30" s="2" t="n"/>
      <c r="C30" s="2" t="n"/>
      <c r="D30" s="2" t="n"/>
    </row>
    <row r="31">
      <c r="A31" s="2" t="n"/>
      <c r="B31" s="2" t="n"/>
      <c r="C31" s="2" t="n"/>
      <c r="D31" s="2" t="n"/>
    </row>
    <row r="32">
      <c r="A32" s="2" t="n"/>
      <c r="B32" s="2" t="n"/>
      <c r="C32" s="2" t="n"/>
      <c r="D32" s="2" t="n"/>
    </row>
    <row r="33">
      <c r="A33" s="2" t="inlineStr">
        <is>
          <t>HR cases by department</t>
        </is>
      </c>
      <c r="B33" s="2" t="inlineStr">
        <is>
          <t>Count</t>
        </is>
      </c>
      <c r="C33" s="2" t="n"/>
      <c r="D33" s="2" t="n"/>
    </row>
    <row r="34">
      <c r="A34" s="2" t="inlineStr">
        <is>
          <t>Retail Sales</t>
        </is>
      </c>
      <c r="B34" s="2">
        <f>SUMPRODUCT((IF($B$2="All",1,--(tblHRCases[Department]=$B$2)))*(IF($B$3="All",1,--(tblHRCases[Request_Type]=$B$3)))*(IF($B$4="All",1,--(tblHRCases[Status]=$B$4)))*(IF($B$5="All",1,--(tblHRCases[Assigned_To]=$B$5)))*--(tblHRCases[Department]=A34))</f>
        <v/>
      </c>
      <c r="C34" s="2" t="n"/>
      <c r="D34" s="2" t="n"/>
    </row>
    <row r="35">
      <c r="A35" s="2" t="inlineStr">
        <is>
          <t>Operations</t>
        </is>
      </c>
      <c r="B35" s="2">
        <f>SUMPRODUCT((IF($B$2="All",1,--(tblHRCases[Department]=$B$2)))*(IF($B$3="All",1,--(tblHRCases[Request_Type]=$B$3)))*(IF($B$4="All",1,--(tblHRCases[Status]=$B$4)))*(IF($B$5="All",1,--(tblHRCases[Assigned_To]=$B$5)))*--(tblHRCases[Department]=A35))</f>
        <v/>
      </c>
      <c r="C35" s="2" t="n"/>
      <c r="D35" s="2" t="n"/>
    </row>
    <row r="36">
      <c r="A36" s="2" t="inlineStr">
        <is>
          <t>Finance</t>
        </is>
      </c>
      <c r="B36" s="2">
        <f>SUMPRODUCT((IF($B$2="All",1,--(tblHRCases[Department]=$B$2)))*(IF($B$3="All",1,--(tblHRCases[Request_Type]=$B$3)))*(IF($B$4="All",1,--(tblHRCases[Status]=$B$4)))*(IF($B$5="All",1,--(tblHRCases[Assigned_To]=$B$5)))*--(tblHRCases[Department]=A36))</f>
        <v/>
      </c>
      <c r="C36" s="2" t="n"/>
      <c r="D36" s="2" t="n"/>
    </row>
    <row r="37">
      <c r="A37" s="2" t="inlineStr">
        <is>
          <t>Marketing</t>
        </is>
      </c>
      <c r="B37" s="2">
        <f>SUMPRODUCT((IF($B$2="All",1,--(tblHRCases[Department]=$B$2)))*(IF($B$3="All",1,--(tblHRCases[Request_Type]=$B$3)))*(IF($B$4="All",1,--(tblHRCases[Status]=$B$4)))*(IF($B$5="All",1,--(tblHRCases[Assigned_To]=$B$5)))*--(tblHRCases[Department]=A37))</f>
        <v/>
      </c>
      <c r="C37" s="2" t="n"/>
      <c r="D37" s="2" t="n"/>
    </row>
    <row r="38">
      <c r="A38" s="2" t="inlineStr">
        <is>
          <t>Technology</t>
        </is>
      </c>
      <c r="B38" s="2">
        <f>SUMPRODUCT((IF($B$2="All",1,--(tblHRCases[Department]=$B$2)))*(IF($B$3="All",1,--(tblHRCases[Request_Type]=$B$3)))*(IF($B$4="All",1,--(tblHRCases[Status]=$B$4)))*(IF($B$5="All",1,--(tblHRCases[Assigned_To]=$B$5)))*--(tblHRCases[Department]=A38))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Retail Sales</t>
        </is>
      </c>
      <c r="B2" t="inlineStr">
        <is>
          <t>Leave Request</t>
        </is>
      </c>
      <c r="C2" t="inlineStr">
        <is>
          <t>New</t>
        </is>
      </c>
      <c r="D2" t="inlineStr">
        <is>
          <t>Aisha Tan</t>
        </is>
      </c>
    </row>
    <row r="3">
      <c r="A3" t="inlineStr">
        <is>
          <t>Operations</t>
        </is>
      </c>
      <c r="B3" t="inlineStr">
        <is>
          <t>Training Request</t>
        </is>
      </c>
      <c r="C3" t="inlineStr">
        <is>
          <t>Assigned</t>
        </is>
      </c>
      <c r="D3" t="inlineStr">
        <is>
          <t>Ben Lim</t>
        </is>
      </c>
    </row>
    <row r="4">
      <c r="A4" t="inlineStr">
        <is>
          <t>Finance</t>
        </is>
      </c>
      <c r="B4" t="inlineStr">
        <is>
          <t>Onboarding</t>
        </is>
      </c>
      <c r="C4" t="inlineStr">
        <is>
          <t>In Progress</t>
        </is>
      </c>
      <c r="D4" t="inlineStr">
        <is>
          <t>Chloe Goh</t>
        </is>
      </c>
    </row>
    <row r="5">
      <c r="A5" t="inlineStr">
        <is>
          <t>Marketing</t>
        </is>
      </c>
      <c r="B5" t="inlineStr">
        <is>
          <t>Payroll Query</t>
        </is>
      </c>
      <c r="C5" t="inlineStr">
        <is>
          <t>On Hold</t>
        </is>
      </c>
      <c r="D5" t="inlineStr">
        <is>
          <t>Daniel Lee</t>
        </is>
      </c>
    </row>
    <row r="6">
      <c r="A6" t="inlineStr">
        <is>
          <t>Technology</t>
        </is>
      </c>
      <c r="B6" t="inlineStr">
        <is>
          <t>Benefits Claim</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2026-10-20T18:53:00Z</dcterms:created>
  <dcterms:modified xmlns:dcterms="http://purl.org/dc/terms/" xmlns:xsi="http://www.w3.org/2001/XMLSchema-instance" xsi:type="dcterms:W3CDTF">2026-10-20T18:53:17Z</dcterms:modified>
</cp:coreProperties>
</file>