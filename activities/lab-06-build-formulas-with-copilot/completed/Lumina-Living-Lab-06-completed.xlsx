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Campaign_Data" sheetId="6" state="visible" r:id="rId8"/>
    <sheet name="Assumptions" sheetId="7" state="visible" r:id="rId9"/>
    <sheet name="Controls" sheetId="8" state="visible" r:id="rId10"/>
  </sheets>
  <definedNames>
    <definedName function="false" hidden="true" localSheetId="4" name="_xlnm._FilterDatabase" vbProcedure="false">Acceptance_Check!$A$1:$D$2</definedName>
    <definedName function="false" hidden="true" localSheetId="6" name="_xlnm._FilterDatabase" vbProcedure="false">Assumptions!$A$1:$C$4</definedName>
    <definedName function="false" hidden="true" localSheetId="5" name="_xlnm._FilterDatabase" vbProcedure="false">Campaign_Data!$A$1:$Q$97</definedName>
    <definedName function="false" hidden="true" localSheetId="7" name="_xlnm._FilterDatabase" vbProcedure="false">Controls!$A$1:$D$4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<sst xmlns="http://schemas.openxmlformats.org/spreadsheetml/2006/main" count="594" uniqueCount="208">
  <si>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</si>
  <si>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</si>
  <si>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</si>
  <si>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</si>
  <si>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</si>
  <si>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</si>
  <si>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</si>
  <si>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Finance calculations</t>
  </si>
  <si>
    <t xml:space="preserve">Source</t>
  </si>
  <si>
    <t xml:space="preserve">Lumina-Business-Data.xlsx</t>
  </si>
  <si>
    <t xml:space="preserve">Output</t>
  </si>
  <si>
    <t xml:space="preserve">Lumina-Analysis.xlsx</t>
  </si>
  <si>
    <t xml:space="preserve">Status</t>
  </si>
  <si>
    <t xml:space="preserve">Illustrative comparison only; learner must record actual evidence</t>
  </si>
  <si>
    <t xml:space="preserve">Goal</t>
  </si>
  <si>
    <t xml:space="preserve">From Campaign_Data, calculate revenue, cost, margin, conversion and return rates using formulas. Define the denominator for each rate. Check 96 source records and handle zero denominators explicitly.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</si>
  <si>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</si>
  <si>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</si>
  <si>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Lumina-Business-Data.xlsx. Use your own reviewed prior-lab files first; scenario/ contains supplied fallback examples.</t>
  </si>
  <si>
    <t xml:space="preserve">Expectations</t>
  </si>
  <si>
    <t xml:space="preserve">Save Lumina-Analysis.xlsx. Record source version, verified facts, unresolved questions and reviewer in Lumina-Living-Lab-06.xlsx. Keep projectSW-2026 and action IDsA01–A04 unchanged. Label every output Draft until reviewed; record actual app actions separately.</t>
  </si>
  <si>
    <t xml:space="preserve">Lab 06: Build and Audit Excel Formulas with Copilot</t>
  </si>
  <si>
    <t xml:space="preserve">Lumina Living Pte Ltd · Sustainable Workspace campaign</t>
  </si>
  <si>
    <t xml:space="preserve">Topic</t>
  </si>
  <si>
    <t xml:space="preserve">2</t>
  </si>
  <si>
    <t xml:space="preserve">Level</t>
  </si>
  <si>
    <t xml:space="preserve">Foundation</t>
  </si>
  <si>
    <t xml:space="preserve">Primary apps</t>
  </si>
  <si>
    <t xml:space="preserve">Excel + Copilot</t>
  </si>
  <si>
    <t xml:space="preserve">Use Copilot to propose calculated columns while retaining formula transparency and controls.</t>
  </si>
  <si>
    <t xml:space="preserve">Expected output</t>
  </si>
  <si>
    <t xml:space="preserve">Formula-driven campaign table with revenue, margin, conversion, status and error controls.</t>
  </si>
  <si>
    <t xml:space="preserve">Alignment</t>
  </si>
  <si>
    <t xml:space="preserve">K3 · A2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</si>
  <si>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</si>
  <si>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</si>
  <si>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</si>
  <si>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</si>
  <si>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</si>
  <si>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</si>
  <si>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P06-01</t>
  </si>
  <si>
    <t xml:space="preserve">Build and Audit Excel Formulas with Copilot</t>
  </si>
  <si>
    <t xml:space="preserve">Goal: From Campaign_Data, calculate revenue, cost, margin, conversion and return rates using formulas. Define the denominator for each rate. Check 96 source records and handle zero denominators explicitly.
Context: You work for Lumina Living Pte Ltd on SW-2026, the Sustainable Workspace Launch. HR, Marketing, Finance and Operations share one evidence trail. Launch is planned for 1 October 2026; budget SGD 18,000; target 120 qualified enquiries.
Source: Lumina-Business-Data.xlsx. Use your own reviewed prior-lab files first; scenario/ contains supplied fallback examples.
Expectations: Save Lumina-Analysis.xlsx. Record source version, verified facts, unresolved questions and reviewer in Lumina-Living-Lab-06.xlsx.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</si>
  <si>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</si>
  <si>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</si>
  <si>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</si>
  <si>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</si>
  <si>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</si>
  <si>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</si>
  <si>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</si>
  <si>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</si>
  <si>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</si>
  <si>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</si>
  <si>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</si>
  <si>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</si>
  <si>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</si>
  <si>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</si>
  <si>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</si>
  <si>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</si>
  <si>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</si>
  <si>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</si>
  <si>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</si>
  <si>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</si>
  <si>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All derived columns use auditable formulas, zero denominators are handled intentionally and the Controls sheet contains no unexplained errors.</t>
  </si>
  <si>
    <t xml:space="preserve">See Evidence_Register</t>
  </si>
  <si>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</si>
  <si>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</si>
  <si>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</si>
  <si>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</si>
  <si>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</si>
  <si>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</si>
  <si>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</si>
  <si>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</si>
  <si>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</si>
  <si>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</si>
  <si>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</si>
  <si>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</si>
  <si>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Margin</t>
  </si>
  <si>
    <t xml:space="preserve">Margin_Percent</t>
  </si>
  <si>
    <t xml:space="preserve">Conversion_Rate</t>
  </si>
  <si>
    <t xml:space="preserve">Return_Rate</t>
  </si>
  <si>
    <t xml:space="preserve">Target_Status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</si>
  <si>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</si>
  <si>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</si>
  <si>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</si>
  <si>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</si>
  <si>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</si>
  <si>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</si>
  <si>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</si>
  <si>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</si>
  <si>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</si>
  <si>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</si>
  <si>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</si>
  <si>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</si>
  <si>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</si>
  <si>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</si>
  <si>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</si>
  <si>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</si>
  <si>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</si>
  <si>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</si>
  <si>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</si>
  <si>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</si>
  <si>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</si>
  <si>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</si>
  <si>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</si>
  <si>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</si>
  <si>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</si>
  <si>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</si>
  <si>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</si>
  <si>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</si>
  <si>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</si>
  <si>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</si>
  <si>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</si>
  <si>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</si>
  <si>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</si>
  <si>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</si>
  <si>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</si>
  <si>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</si>
  <si>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</si>
  <si>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</si>
  <si>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</si>
  <si>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</si>
  <si>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</si>
  <si>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</si>
  <si>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</si>
  <si>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</si>
  <si>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</si>
  <si>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</si>
  <si>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</si>
  <si>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</si>
  <si>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</si>
  <si>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</si>
  <si>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</si>
  <si>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</si>
  <si>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</si>
  <si>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</si>
  <si>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</si>
  <si>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</si>
  <si>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</si>
  <si>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</si>
  <si>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</si>
  <si>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</si>
  <si>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</si>
  <si>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</si>
  <si>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</si>
  <si>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</si>
  <si>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</si>
  <si>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</si>
  <si>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</si>
  <si>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</si>
  <si>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</si>
  <si>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</si>
  <si>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</si>
  <si>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</si>
  <si>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</si>
  <si>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</si>
  <si>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</si>
  <si>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</si>
  <si>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</si>
  <si>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</si>
  <si>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</si>
  <si>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</si>
  <si>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</si>
  <si>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</si>
  <si>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</si>
  <si>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</si>
  <si>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</si>
  <si>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</si>
  <si>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</si>
  <si>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</si>
  <si>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</si>
  <si>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</si>
  <si>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</si>
  <si>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</si>
  <si>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</si>
  <si>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</si>
  <si>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</si>
  <si>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</si>
  <si>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</si>
  <si>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</si>
  <si>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</si>
  <si>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</si>
  <si>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</si>
  <si>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</si>
  <si>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</si>
  <si>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</si>
  <si>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</si>
  <si>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</si>
  <si>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</si>
  <si>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</si>
  <si>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</si>
  <si>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</si>
  <si>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</si>
  <si>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</si>
  <si>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</si>
  <si>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</si>
  <si>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Assumption</t>
  </si>
  <si>
    <t xml:space="preserve">Target_Margin</t>
  </si>
  <si>
    <t xml:space="preserve">On-target threshold</t>
  </si>
  <si>
    <t xml:space="preserve">Target_Conversion</t>
  </si>
  <si>
    <t xml:space="preserve">Conversion threshold</t>
  </si>
  <si>
    <t xml:space="preserve">High_Return_Rate</t>
  </si>
  <si>
    <t xml:space="preserve">Review threshold</t>
  </si>
  <si>
    <t xml:space="preserve">Control</t>
  </si>
  <si>
    <t xml:space="preserve">Expected</t>
  </si>
  <si>
    <t xml:space="preserve">Record count</t>
  </si>
  <si>
    <t xml:space="preserve">Blank keys</t>
  </si>
  <si>
    <t xml:space="preserve">Negative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</si>
</sst>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Assumptions" displayName="tblAssumptions" ref="A1:C4" headerRowCount="1" totalsRowCount="0" totalsRowShown="0">
  <autoFilter ref="A1:C4"/>
  <tableColumns count="3">
    <tableColumn id="1" name="Assumption"/>
    <tableColumn id="2" name="Value"/>
    <tableColumn id="3" name="Purpose"/>
  </tableColumns>
</table>
</file>

<file path=xl/tables/table2.xml><?xml version="1.0" encoding="utf-8"?>
<table xmlns="http://schemas.openxmlformats.org/spreadsheetml/2006/main" id="2" name="tblCampaignData" displayName="tblCampaignData" ref="A1:L97" headerRowCount="1" totalsRowCount="0" totalsRowShown="0">
  <autoFilter ref="A1:L97"/>
  <tableColumns count="12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</tableColumns>
</table>
</file>

<file path=xl/tables/table3.xml><?xml version="1.0" encoding="utf-8"?>
<table xmlns="http://schemas.openxmlformats.org/spreadsheetml/2006/main" id="3" name="tblEvidence06" displayName="tblEvidence06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4.xml><?xml version="1.0" encoding="utf-8"?>
<table xmlns="http://schemas.openxmlformats.org/spreadsheetml/2006/main" id="4" name="tblPrompt06" displayName="tblPrompt06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02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3" width="11"/>
    <col collapsed="false" customWidth="true" hidden="false" outlineLevel="0" max="5" min="5" style="3" width="14"/>
    <col collapsed="false" customWidth="true" hidden="false" outlineLevel="0" max="6" min="6" style="3" width="13"/>
    <col collapsed="false" customWidth="true" hidden="false" outlineLevel="0" max="11" min="7" style="3" width="11"/>
    <col collapsed="false" customWidth="true" hidden="false" outlineLevel="0" max="12" min="12" style="3" width="16"/>
    <col collapsed="false" customWidth="true" hidden="false" outlineLevel="0" max="13" min="13" style="3" width="11"/>
    <col collapsed="false" customWidth="true" hidden="false" outlineLevel="0" max="16" min="14" style="3" width="21"/>
    <col collapsed="false" customWidth="true" hidden="false" outlineLevel="0" max="17" min="17" style="3" width="34"/>
  </cols>
  <sheetData>
    <row r="1" customFormat="false" ht="1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75</v>
      </c>
      <c r="L1" s="9" t="s">
        <v>76</v>
      </c>
      <c r="M1" s="9" t="s">
        <v>77</v>
      </c>
      <c r="N1" s="9" t="s">
        <v>78</v>
      </c>
      <c r="O1" s="9" t="s">
        <v>79</v>
      </c>
      <c r="P1" s="9" t="s">
        <v>80</v>
      </c>
      <c r="Q1" s="9" t="s">
        <v>81</v>
      </c>
    </row>
    <row r="2" customFormat="false" ht="15" hidden="false" customHeight="true" outlineLevel="0" collapsed="false">
      <c r="A2" s="6" t="s">
        <v>82</v>
      </c>
      <c r="B2" s="6" t="s">
        <v>83</v>
      </c>
      <c r="C2" s="6" t="s">
        <v>84</v>
      </c>
      <c r="D2" s="6" t="s">
        <v>85</v>
      </c>
      <c r="E2" s="6" t="s">
        <v>86</v>
      </c>
      <c r="F2" s="6" t="n">
        <v>3500</v>
      </c>
      <c r="G2" s="6" t="n">
        <v>122</v>
      </c>
      <c r="H2" s="6" t="n">
        <v>10</v>
      </c>
      <c r="I2" s="6" t="n">
        <v>1500</v>
      </c>
      <c r="J2" s="6" t="n">
        <v>765</v>
      </c>
      <c r="K2" s="6" t="n">
        <v>0</v>
      </c>
      <c r="L2" s="6" t="n">
        <v>8500</v>
      </c>
      <c r="M2" s="6" t="n">
        <f aca="false">I2-J2</f>
        <v>735</v>
      </c>
      <c r="N2" s="6" t="n">
        <f aca="false">IFERROR(M2/I2,0)</f>
        <v>0.49</v>
      </c>
      <c r="O2" s="6" t="n">
        <f aca="false">IFERROR(H2/F2,0)</f>
        <v>0.00285714285714286</v>
      </c>
      <c r="P2" s="6" t="n">
        <f aca="false">IFERROR(K2/H2,0)</f>
        <v>0</v>
      </c>
      <c r="Q2" s="6" t="str">
        <f aca="false">IF(AND(N2&gt;=Assumptions!$B$2,O2&gt;=Assumptions!$B$3),"On Target","Review")</f>
        <v>Review</v>
      </c>
    </row>
    <row r="3" customFormat="false" ht="15" hidden="false" customHeight="true" outlineLevel="0" collapsed="false">
      <c r="A3" s="10" t="s">
        <v>87</v>
      </c>
      <c r="B3" s="10" t="s">
        <v>88</v>
      </c>
      <c r="C3" s="10" t="s">
        <v>84</v>
      </c>
      <c r="D3" s="10" t="s">
        <v>85</v>
      </c>
      <c r="E3" s="10" t="s">
        <v>86</v>
      </c>
      <c r="F3" s="10" t="n">
        <v>3673</v>
      </c>
      <c r="G3" s="10" t="n">
        <v>150</v>
      </c>
      <c r="H3" s="10" t="n">
        <v>15</v>
      </c>
      <c r="I3" s="10" t="n">
        <v>3225</v>
      </c>
      <c r="J3" s="10" t="n">
        <v>1789.88</v>
      </c>
      <c r="K3" s="10" t="n">
        <v>3</v>
      </c>
      <c r="L3" s="10" t="n">
        <v>10300</v>
      </c>
      <c r="M3" s="10" t="n">
        <f aca="false">I3-J3</f>
        <v>1435.12</v>
      </c>
      <c r="N3" s="10" t="n">
        <f aca="false">IFERROR(M3/I3,0)</f>
        <v>0.444998449612403</v>
      </c>
      <c r="O3" s="10" t="n">
        <f aca="false">IFERROR(H3/F3,0)</f>
        <v>0.00408385515927035</v>
      </c>
      <c r="P3" s="10" t="n">
        <f aca="false">IFERROR(K3/H3,0)</f>
        <v>0.2</v>
      </c>
      <c r="Q3" s="10" t="str">
        <f aca="false">IF(AND(N3&gt;=Assumptions!$B$2,O3&gt;=Assumptions!$B$3),"On Target","Review")</f>
        <v>Review</v>
      </c>
    </row>
    <row r="4" customFormat="false" ht="15" hidden="false" customHeight="true" outlineLevel="0" collapsed="false">
      <c r="A4" s="10" t="s">
        <v>89</v>
      </c>
      <c r="B4" s="10" t="s">
        <v>90</v>
      </c>
      <c r="C4" s="10" t="s">
        <v>84</v>
      </c>
      <c r="D4" s="10" t="s">
        <v>85</v>
      </c>
      <c r="E4" s="10" t="s">
        <v>86</v>
      </c>
      <c r="F4" s="10" t="n">
        <v>3846</v>
      </c>
      <c r="G4" s="10" t="n">
        <v>180</v>
      </c>
      <c r="H4" s="10" t="n">
        <v>21</v>
      </c>
      <c r="I4" s="10" t="n">
        <v>5880</v>
      </c>
      <c r="J4" s="10" t="n">
        <v>3528</v>
      </c>
      <c r="K4" s="10" t="n">
        <v>6</v>
      </c>
      <c r="L4" s="10" t="n">
        <v>12100</v>
      </c>
      <c r="M4" s="10" t="n">
        <f aca="false">I4-J4</f>
        <v>2352</v>
      </c>
      <c r="N4" s="10" t="n">
        <f aca="false">IFERROR(M4/I4,0)</f>
        <v>0.4</v>
      </c>
      <c r="O4" s="10" t="n">
        <f aca="false">IFERROR(H4/F4,0)</f>
        <v>0.00546021840873635</v>
      </c>
      <c r="P4" s="10" t="n">
        <f aca="false">IFERROR(K4/H4,0)</f>
        <v>0.285714285714286</v>
      </c>
      <c r="Q4" s="10" t="str">
        <f aca="false">IF(AND(N4&gt;=Assumptions!$B$2,O4&gt;=Assumptions!$B$3),"On Target","Review")</f>
        <v>Review</v>
      </c>
    </row>
    <row r="5" customFormat="false" ht="15" hidden="false" customHeight="true" outlineLevel="0" collapsed="false">
      <c r="A5" s="10" t="s">
        <v>91</v>
      </c>
      <c r="B5" s="10" t="s">
        <v>92</v>
      </c>
      <c r="C5" s="10" t="s">
        <v>93</v>
      </c>
      <c r="D5" s="10" t="s">
        <v>85</v>
      </c>
      <c r="E5" s="10" t="s">
        <v>86</v>
      </c>
      <c r="F5" s="10" t="n">
        <v>4019</v>
      </c>
      <c r="G5" s="10" t="n">
        <v>213</v>
      </c>
      <c r="H5" s="10" t="n">
        <v>28</v>
      </c>
      <c r="I5" s="10" t="n">
        <v>9660</v>
      </c>
      <c r="J5" s="10" t="n">
        <v>4926.6</v>
      </c>
      <c r="K5" s="10" t="n">
        <v>9</v>
      </c>
      <c r="L5" s="10" t="n">
        <v>13900</v>
      </c>
      <c r="M5" s="10" t="n">
        <f aca="false">I5-J5</f>
        <v>4733.4</v>
      </c>
      <c r="N5" s="10" t="n">
        <f aca="false">IFERROR(M5/I5,0)</f>
        <v>0.49</v>
      </c>
      <c r="O5" s="10" t="n">
        <f aca="false">IFERROR(H5/F5,0)</f>
        <v>0.00696690719084349</v>
      </c>
      <c r="P5" s="10" t="n">
        <f aca="false">IFERROR(K5/H5,0)</f>
        <v>0.321428571428571</v>
      </c>
      <c r="Q5" s="10" t="str">
        <f aca="false">IF(AND(N5&gt;=Assumptions!$B$2,O5&gt;=Assumptions!$B$3),"On Target","Review")</f>
        <v>Review</v>
      </c>
    </row>
    <row r="6" customFormat="false" ht="15" hidden="false" customHeight="true" outlineLevel="0" collapsed="false">
      <c r="A6" s="10" t="s">
        <v>94</v>
      </c>
      <c r="B6" s="10" t="s">
        <v>95</v>
      </c>
      <c r="C6" s="10" t="s">
        <v>93</v>
      </c>
      <c r="D6" s="10" t="s">
        <v>85</v>
      </c>
      <c r="E6" s="10" t="s">
        <v>86</v>
      </c>
      <c r="F6" s="10" t="n">
        <v>4192</v>
      </c>
      <c r="G6" s="10" t="n">
        <v>247</v>
      </c>
      <c r="H6" s="10" t="n">
        <v>37</v>
      </c>
      <c r="I6" s="10" t="n">
        <v>5550</v>
      </c>
      <c r="J6" s="10" t="n">
        <v>3080.25</v>
      </c>
      <c r="K6" s="10" t="n">
        <v>12</v>
      </c>
      <c r="L6" s="10" t="n">
        <v>8500</v>
      </c>
      <c r="M6" s="10" t="n">
        <f aca="false">I6-J6</f>
        <v>2469.75</v>
      </c>
      <c r="N6" s="10" t="n">
        <f aca="false">IFERROR(M6/I6,0)</f>
        <v>0.445</v>
      </c>
      <c r="O6" s="10" t="n">
        <f aca="false">IFERROR(H6/F6,0)</f>
        <v>0.0088263358778626</v>
      </c>
      <c r="P6" s="10" t="n">
        <f aca="false">IFERROR(K6/H6,0)</f>
        <v>0.324324324324324</v>
      </c>
      <c r="Q6" s="10" t="str">
        <f aca="false">IF(AND(N6&gt;=Assumptions!$B$2,O6&gt;=Assumptions!$B$3),"On Target","Review")</f>
        <v>Review</v>
      </c>
    </row>
    <row r="7" customFormat="false" ht="15" hidden="false" customHeight="true" outlineLevel="0" collapsed="false">
      <c r="A7" s="10" t="s">
        <v>96</v>
      </c>
      <c r="B7" s="10" t="s">
        <v>97</v>
      </c>
      <c r="C7" s="10" t="s">
        <v>93</v>
      </c>
      <c r="D7" s="10" t="s">
        <v>98</v>
      </c>
      <c r="E7" s="10" t="s">
        <v>86</v>
      </c>
      <c r="F7" s="10" t="n">
        <v>4365</v>
      </c>
      <c r="G7" s="10" t="n">
        <v>283</v>
      </c>
      <c r="H7" s="10" t="n">
        <v>25</v>
      </c>
      <c r="I7" s="10" t="n">
        <v>5375</v>
      </c>
      <c r="J7" s="10" t="n">
        <v>3225</v>
      </c>
      <c r="K7" s="10" t="n">
        <v>6</v>
      </c>
      <c r="L7" s="10" t="n">
        <v>10300</v>
      </c>
      <c r="M7" s="10" t="n">
        <f aca="false">I7-J7</f>
        <v>2150</v>
      </c>
      <c r="N7" s="10" t="n">
        <f aca="false">IFERROR(M7/I7,0)</f>
        <v>0.4</v>
      </c>
      <c r="O7" s="10" t="n">
        <f aca="false">IFERROR(H7/F7,0)</f>
        <v>0.00572737686139748</v>
      </c>
      <c r="P7" s="10" t="n">
        <f aca="false">IFERROR(K7/H7,0)</f>
        <v>0.24</v>
      </c>
      <c r="Q7" s="10" t="str">
        <f aca="false">IF(AND(N7&gt;=Assumptions!$B$2,O7&gt;=Assumptions!$B$3),"On Target","Review")</f>
        <v>Review</v>
      </c>
    </row>
    <row r="8" customFormat="false" ht="15" hidden="false" customHeight="true" outlineLevel="0" collapsed="false">
      <c r="A8" s="10" t="s">
        <v>99</v>
      </c>
      <c r="B8" s="10" t="s">
        <v>83</v>
      </c>
      <c r="C8" s="10" t="s">
        <v>100</v>
      </c>
      <c r="D8" s="10" t="s">
        <v>98</v>
      </c>
      <c r="E8" s="10" t="s">
        <v>86</v>
      </c>
      <c r="F8" s="10" t="n">
        <v>4538</v>
      </c>
      <c r="G8" s="10" t="n">
        <v>158</v>
      </c>
      <c r="H8" s="10" t="n">
        <v>16</v>
      </c>
      <c r="I8" s="10" t="n">
        <v>4480</v>
      </c>
      <c r="J8" s="10" t="n">
        <v>2284.8</v>
      </c>
      <c r="K8" s="10" t="n">
        <v>0</v>
      </c>
      <c r="L8" s="10" t="n">
        <v>12100</v>
      </c>
      <c r="M8" s="10" t="n">
        <f aca="false">I8-J8</f>
        <v>2195.2</v>
      </c>
      <c r="N8" s="10" t="n">
        <f aca="false">IFERROR(M8/I8,0)</f>
        <v>0.49</v>
      </c>
      <c r="O8" s="10" t="n">
        <f aca="false">IFERROR(H8/F8,0)</f>
        <v>0.00352578228294403</v>
      </c>
      <c r="P8" s="10" t="n">
        <f aca="false">IFERROR(K8/H8,0)</f>
        <v>0</v>
      </c>
      <c r="Q8" s="10" t="str">
        <f aca="false">IF(AND(N8&gt;=Assumptions!$B$2,O8&gt;=Assumptions!$B$3),"On Target","Review")</f>
        <v>Review</v>
      </c>
    </row>
    <row r="9" customFormat="false" ht="15" hidden="false" customHeight="true" outlineLevel="0" collapsed="false">
      <c r="A9" s="10" t="s">
        <v>101</v>
      </c>
      <c r="B9" s="10" t="s">
        <v>88</v>
      </c>
      <c r="C9" s="10" t="s">
        <v>100</v>
      </c>
      <c r="D9" s="10" t="s">
        <v>98</v>
      </c>
      <c r="E9" s="10" t="s">
        <v>102</v>
      </c>
      <c r="F9" s="10" t="n">
        <v>4711</v>
      </c>
      <c r="G9" s="10" t="n">
        <v>193</v>
      </c>
      <c r="H9" s="10" t="n">
        <v>23</v>
      </c>
      <c r="I9" s="10" t="n">
        <v>7935</v>
      </c>
      <c r="J9" s="10" t="n">
        <v>4403.93</v>
      </c>
      <c r="K9" s="10" t="n">
        <v>5</v>
      </c>
      <c r="L9" s="10" t="n">
        <v>13900</v>
      </c>
      <c r="M9" s="10" t="n">
        <f aca="false">I9-J9</f>
        <v>3531.07</v>
      </c>
      <c r="N9" s="10" t="n">
        <f aca="false">IFERROR(M9/I9,0)</f>
        <v>0.444999369880277</v>
      </c>
      <c r="O9" s="10" t="n">
        <f aca="false">IFERROR(H9/F9,0)</f>
        <v>0.00488219061770325</v>
      </c>
      <c r="P9" s="10" t="n">
        <f aca="false">IFERROR(K9/H9,0)</f>
        <v>0.217391304347826</v>
      </c>
      <c r="Q9" s="10" t="str">
        <f aca="false">IF(AND(N9&gt;=Assumptions!$B$2,O9&gt;=Assumptions!$B$3),"On Target","Review")</f>
        <v>Review</v>
      </c>
    </row>
    <row r="10" customFormat="false" ht="15" hidden="false" customHeight="true" outlineLevel="0" collapsed="false">
      <c r="A10" s="10" t="s">
        <v>103</v>
      </c>
      <c r="B10" s="10" t="s">
        <v>90</v>
      </c>
      <c r="C10" s="10" t="s">
        <v>100</v>
      </c>
      <c r="D10" s="10" t="s">
        <v>98</v>
      </c>
      <c r="E10" s="10" t="s">
        <v>102</v>
      </c>
      <c r="F10" s="10" t="n">
        <v>4884</v>
      </c>
      <c r="G10" s="10" t="n">
        <v>229</v>
      </c>
      <c r="H10" s="10" t="n">
        <v>30</v>
      </c>
      <c r="I10" s="10" t="n">
        <v>4500</v>
      </c>
      <c r="J10" s="10" t="n">
        <v>2700</v>
      </c>
      <c r="K10" s="10" t="n">
        <v>2</v>
      </c>
      <c r="L10" s="10" t="n">
        <v>8500</v>
      </c>
      <c r="M10" s="10" t="n">
        <f aca="false">I10-J10</f>
        <v>1800</v>
      </c>
      <c r="N10" s="10" t="n">
        <f aca="false">IFERROR(M10/I10,0)</f>
        <v>0.4</v>
      </c>
      <c r="O10" s="10" t="n">
        <f aca="false">IFERROR(H10/F10,0)</f>
        <v>0.00614250614250614</v>
      </c>
      <c r="P10" s="10" t="n">
        <f aca="false">IFERROR(K10/H10,0)</f>
        <v>0.0666666666666667</v>
      </c>
      <c r="Q10" s="10" t="str">
        <f aca="false">IF(AND(N10&gt;=Assumptions!$B$2,O10&gt;=Assumptions!$B$3),"On Target","Review")</f>
        <v>Review</v>
      </c>
    </row>
    <row r="11" customFormat="false" ht="15" hidden="false" customHeight="true" outlineLevel="0" collapsed="false">
      <c r="A11" s="10" t="s">
        <v>104</v>
      </c>
      <c r="B11" s="10" t="s">
        <v>92</v>
      </c>
      <c r="C11" s="10" t="s">
        <v>105</v>
      </c>
      <c r="D11" s="10" t="s">
        <v>98</v>
      </c>
      <c r="E11" s="10" t="s">
        <v>102</v>
      </c>
      <c r="F11" s="10" t="n">
        <v>5057</v>
      </c>
      <c r="G11" s="10" t="n">
        <v>268</v>
      </c>
      <c r="H11" s="10" t="n">
        <v>40</v>
      </c>
      <c r="I11" s="10" t="n">
        <v>8600</v>
      </c>
      <c r="J11" s="10" t="n">
        <v>4386</v>
      </c>
      <c r="K11" s="10" t="n">
        <v>13</v>
      </c>
      <c r="L11" s="10" t="n">
        <v>10300</v>
      </c>
      <c r="M11" s="10" t="n">
        <f aca="false">I11-J11</f>
        <v>4214</v>
      </c>
      <c r="N11" s="10" t="n">
        <f aca="false">IFERROR(M11/I11,0)</f>
        <v>0.49</v>
      </c>
      <c r="O11" s="10" t="n">
        <f aca="false">IFERROR(H11/F11,0)</f>
        <v>0.00790982796124184</v>
      </c>
      <c r="P11" s="10" t="n">
        <f aca="false">IFERROR(K11/H11,0)</f>
        <v>0.325</v>
      </c>
      <c r="Q11" s="10" t="str">
        <f aca="false">IF(AND(N11&gt;=Assumptions!$B$2,O11&gt;=Assumptions!$B$3),"On Target","Review")</f>
        <v>Review</v>
      </c>
    </row>
    <row r="12" customFormat="false" ht="15" hidden="false" customHeight="true" outlineLevel="0" collapsed="false">
      <c r="A12" s="10" t="s">
        <v>106</v>
      </c>
      <c r="B12" s="10" t="s">
        <v>95</v>
      </c>
      <c r="C12" s="10" t="s">
        <v>105</v>
      </c>
      <c r="D12" s="10" t="s">
        <v>107</v>
      </c>
      <c r="E12" s="10" t="s">
        <v>102</v>
      </c>
      <c r="F12" s="10" t="n">
        <v>5230</v>
      </c>
      <c r="G12" s="10" t="n">
        <v>308</v>
      </c>
      <c r="H12" s="10" t="n">
        <v>27</v>
      </c>
      <c r="I12" s="10" t="n">
        <v>7560</v>
      </c>
      <c r="J12" s="10" t="n">
        <v>4195.8</v>
      </c>
      <c r="K12" s="10" t="n">
        <v>0</v>
      </c>
      <c r="L12" s="10" t="n">
        <v>12100</v>
      </c>
      <c r="M12" s="10" t="n">
        <f aca="false">I12-J12</f>
        <v>3364.2</v>
      </c>
      <c r="N12" s="10" t="n">
        <f aca="false">IFERROR(M12/I12,0)</f>
        <v>0.445</v>
      </c>
      <c r="O12" s="10" t="n">
        <f aca="false">IFERROR(H12/F12,0)</f>
        <v>0.00516252390057361</v>
      </c>
      <c r="P12" s="10" t="n">
        <f aca="false">IFERROR(K12/H12,0)</f>
        <v>0</v>
      </c>
      <c r="Q12" s="10" t="str">
        <f aca="false">IF(AND(N12&gt;=Assumptions!$B$2,O12&gt;=Assumptions!$B$3),"On Target","Review")</f>
        <v>Review</v>
      </c>
    </row>
    <row r="13" customFormat="false" ht="15" hidden="false" customHeight="true" outlineLevel="0" collapsed="false">
      <c r="A13" s="10" t="s">
        <v>108</v>
      </c>
      <c r="B13" s="10" t="s">
        <v>97</v>
      </c>
      <c r="C13" s="10" t="s">
        <v>105</v>
      </c>
      <c r="D13" s="10" t="s">
        <v>107</v>
      </c>
      <c r="E13" s="10" t="s">
        <v>102</v>
      </c>
      <c r="F13" s="10" t="n">
        <v>5403</v>
      </c>
      <c r="G13" s="10" t="n">
        <v>351</v>
      </c>
      <c r="H13" s="10" t="n">
        <v>36</v>
      </c>
      <c r="I13" s="10" t="n">
        <v>12420</v>
      </c>
      <c r="J13" s="10" t="n">
        <v>7452</v>
      </c>
      <c r="K13" s="10" t="n">
        <v>7</v>
      </c>
      <c r="L13" s="10" t="n">
        <v>13900</v>
      </c>
      <c r="M13" s="10" t="n">
        <f aca="false">I13-J13</f>
        <v>4968</v>
      </c>
      <c r="N13" s="10" t="n">
        <f aca="false">IFERROR(M13/I13,0)</f>
        <v>0.4</v>
      </c>
      <c r="O13" s="10" t="n">
        <f aca="false">IFERROR(H13/F13,0)</f>
        <v>0.00666296501943365</v>
      </c>
      <c r="P13" s="10" t="n">
        <f aca="false">IFERROR(K13/H13,0)</f>
        <v>0.194444444444444</v>
      </c>
      <c r="Q13" s="10" t="str">
        <f aca="false">IF(AND(N13&gt;=Assumptions!$B$2,O13&gt;=Assumptions!$B$3),"On Target","Review")</f>
        <v>Review</v>
      </c>
    </row>
    <row r="14" customFormat="false" ht="15" hidden="false" customHeight="true" outlineLevel="0" collapsed="false">
      <c r="A14" s="10" t="s">
        <v>109</v>
      </c>
      <c r="B14" s="10" t="s">
        <v>83</v>
      </c>
      <c r="C14" s="10" t="s">
        <v>84</v>
      </c>
      <c r="D14" s="10" t="s">
        <v>107</v>
      </c>
      <c r="E14" s="10" t="s">
        <v>102</v>
      </c>
      <c r="F14" s="10" t="n">
        <v>5576</v>
      </c>
      <c r="G14" s="10" t="n">
        <v>195</v>
      </c>
      <c r="H14" s="10" t="n">
        <v>23</v>
      </c>
      <c r="I14" s="10" t="n">
        <v>3450</v>
      </c>
      <c r="J14" s="10" t="n">
        <v>1759.5</v>
      </c>
      <c r="K14" s="10" t="n">
        <v>4</v>
      </c>
      <c r="L14" s="10" t="n">
        <v>8500</v>
      </c>
      <c r="M14" s="10" t="n">
        <f aca="false">I14-J14</f>
        <v>1690.5</v>
      </c>
      <c r="N14" s="10" t="n">
        <f aca="false">IFERROR(M14/I14,0)</f>
        <v>0.49</v>
      </c>
      <c r="O14" s="10" t="n">
        <f aca="false">IFERROR(H14/F14,0)</f>
        <v>0.00412482065997131</v>
      </c>
      <c r="P14" s="10" t="n">
        <f aca="false">IFERROR(K14/H14,0)</f>
        <v>0.173913043478261</v>
      </c>
      <c r="Q14" s="10" t="str">
        <f aca="false">IF(AND(N14&gt;=Assumptions!$B$2,O14&gt;=Assumptions!$B$3),"On Target","Review")</f>
        <v>Review</v>
      </c>
    </row>
    <row r="15" customFormat="false" ht="15" hidden="false" customHeight="true" outlineLevel="0" collapsed="false">
      <c r="A15" s="10" t="s">
        <v>110</v>
      </c>
      <c r="B15" s="10" t="s">
        <v>88</v>
      </c>
      <c r="C15" s="10" t="s">
        <v>84</v>
      </c>
      <c r="D15" s="10" t="s">
        <v>107</v>
      </c>
      <c r="E15" s="10" t="s">
        <v>102</v>
      </c>
      <c r="F15" s="10" t="n">
        <v>5749</v>
      </c>
      <c r="G15" s="10" t="n">
        <v>235</v>
      </c>
      <c r="H15" s="10" t="n">
        <v>31</v>
      </c>
      <c r="I15" s="10" t="n">
        <v>6665</v>
      </c>
      <c r="J15" s="10" t="n">
        <v>3699.08</v>
      </c>
      <c r="K15" s="10" t="n">
        <v>6</v>
      </c>
      <c r="L15" s="10" t="n">
        <v>10300</v>
      </c>
      <c r="M15" s="10" t="n">
        <f aca="false">I15-J15</f>
        <v>2965.92</v>
      </c>
      <c r="N15" s="10" t="n">
        <f aca="false">IFERROR(M15/I15,0)</f>
        <v>0.444999249812453</v>
      </c>
      <c r="O15" s="10" t="n">
        <f aca="false">IFERROR(H15/F15,0)</f>
        <v>0.00539224212906593</v>
      </c>
      <c r="P15" s="10" t="n">
        <f aca="false">IFERROR(K15/H15,0)</f>
        <v>0.193548387096774</v>
      </c>
      <c r="Q15" s="10" t="str">
        <f aca="false">IF(AND(N15&gt;=Assumptions!$B$2,O15&gt;=Assumptions!$B$3),"On Target","Review")</f>
        <v>Review</v>
      </c>
    </row>
    <row r="16" customFormat="false" ht="15" hidden="false" customHeight="true" outlineLevel="0" collapsed="false">
      <c r="A16" s="10" t="s">
        <v>111</v>
      </c>
      <c r="B16" s="10" t="s">
        <v>90</v>
      </c>
      <c r="C16" s="10" t="s">
        <v>84</v>
      </c>
      <c r="D16" s="10" t="s">
        <v>107</v>
      </c>
      <c r="E16" s="10" t="s">
        <v>112</v>
      </c>
      <c r="F16" s="10" t="n">
        <v>5922</v>
      </c>
      <c r="G16" s="10" t="n">
        <v>278</v>
      </c>
      <c r="H16" s="10" t="n">
        <v>41</v>
      </c>
      <c r="I16" s="10" t="n">
        <v>11480</v>
      </c>
      <c r="J16" s="10" t="n">
        <v>6888</v>
      </c>
      <c r="K16" s="10" t="n">
        <v>0</v>
      </c>
      <c r="L16" s="10" t="n">
        <v>12100</v>
      </c>
      <c r="M16" s="10" t="n">
        <f aca="false">I16-J16</f>
        <v>4592</v>
      </c>
      <c r="N16" s="10" t="n">
        <f aca="false">IFERROR(M16/I16,0)</f>
        <v>0.4</v>
      </c>
      <c r="O16" s="10" t="n">
        <f aca="false">IFERROR(H16/F16,0)</f>
        <v>0.00692333671057075</v>
      </c>
      <c r="P16" s="10" t="n">
        <f aca="false">IFERROR(K16/H16,0)</f>
        <v>0</v>
      </c>
      <c r="Q16" s="10" t="str">
        <f aca="false">IF(AND(N16&gt;=Assumptions!$B$2,O16&gt;=Assumptions!$B$3),"On Target","Review")</f>
        <v>Review</v>
      </c>
    </row>
    <row r="17" customFormat="false" ht="15" hidden="false" customHeight="true" outlineLevel="0" collapsed="false">
      <c r="A17" s="10" t="s">
        <v>113</v>
      </c>
      <c r="B17" s="10" t="s">
        <v>92</v>
      </c>
      <c r="C17" s="10" t="s">
        <v>93</v>
      </c>
      <c r="D17" s="10" t="s">
        <v>114</v>
      </c>
      <c r="E17" s="10" t="s">
        <v>112</v>
      </c>
      <c r="F17" s="10" t="n">
        <v>6095</v>
      </c>
      <c r="G17" s="10" t="n">
        <v>323</v>
      </c>
      <c r="H17" s="10" t="n">
        <v>29</v>
      </c>
      <c r="I17" s="10" t="n">
        <v>10005</v>
      </c>
      <c r="J17" s="10" t="n">
        <v>5102.55</v>
      </c>
      <c r="K17" s="10" t="n">
        <v>5</v>
      </c>
      <c r="L17" s="10" t="n">
        <v>13900</v>
      </c>
      <c r="M17" s="10" t="n">
        <f aca="false">I17-J17</f>
        <v>4902.45</v>
      </c>
      <c r="N17" s="10" t="n">
        <f aca="false">IFERROR(M17/I17,0)</f>
        <v>0.49</v>
      </c>
      <c r="O17" s="10" t="n">
        <f aca="false">IFERROR(H17/F17,0)</f>
        <v>0.00475799835931091</v>
      </c>
      <c r="P17" s="10" t="n">
        <f aca="false">IFERROR(K17/H17,0)</f>
        <v>0.172413793103448</v>
      </c>
      <c r="Q17" s="10" t="str">
        <f aca="false">IF(AND(N17&gt;=Assumptions!$B$2,O17&gt;=Assumptions!$B$3),"On Target","Review")</f>
        <v>Review</v>
      </c>
    </row>
    <row r="18" customFormat="false" ht="15" hidden="false" customHeight="true" outlineLevel="0" collapsed="false">
      <c r="A18" s="10" t="s">
        <v>115</v>
      </c>
      <c r="B18" s="10" t="s">
        <v>95</v>
      </c>
      <c r="C18" s="10" t="s">
        <v>93</v>
      </c>
      <c r="D18" s="10" t="s">
        <v>114</v>
      </c>
      <c r="E18" s="10" t="s">
        <v>112</v>
      </c>
      <c r="F18" s="10" t="n">
        <v>6268</v>
      </c>
      <c r="G18" s="10" t="n">
        <v>369</v>
      </c>
      <c r="H18" s="10" t="n">
        <v>38</v>
      </c>
      <c r="I18" s="10" t="n">
        <v>5700</v>
      </c>
      <c r="J18" s="10" t="n">
        <v>3163.5</v>
      </c>
      <c r="K18" s="10" t="n">
        <v>9</v>
      </c>
      <c r="L18" s="10" t="n">
        <v>8500</v>
      </c>
      <c r="M18" s="10" t="n">
        <f aca="false">I18-J18</f>
        <v>2536.5</v>
      </c>
      <c r="N18" s="10" t="n">
        <f aca="false">IFERROR(M18/I18,0)</f>
        <v>0.445</v>
      </c>
      <c r="O18" s="10" t="n">
        <f aca="false">IFERROR(H18/F18,0)</f>
        <v>0.00606253988513082</v>
      </c>
      <c r="P18" s="10" t="n">
        <f aca="false">IFERROR(K18/H18,0)</f>
        <v>0.236842105263158</v>
      </c>
      <c r="Q18" s="10" t="str">
        <f aca="false">IF(AND(N18&gt;=Assumptions!$B$2,O18&gt;=Assumptions!$B$3),"On Target","Review")</f>
        <v>Review</v>
      </c>
    </row>
    <row r="19" customFormat="false" ht="15" hidden="false" customHeight="true" outlineLevel="0" collapsed="false">
      <c r="A19" s="10" t="s">
        <v>116</v>
      </c>
      <c r="B19" s="10" t="s">
        <v>97</v>
      </c>
      <c r="C19" s="10" t="s">
        <v>93</v>
      </c>
      <c r="D19" s="10" t="s">
        <v>114</v>
      </c>
      <c r="E19" s="10" t="s">
        <v>112</v>
      </c>
      <c r="F19" s="10" t="n">
        <v>6441</v>
      </c>
      <c r="G19" s="10" t="n">
        <v>418</v>
      </c>
      <c r="H19" s="10" t="n">
        <v>50</v>
      </c>
      <c r="I19" s="10" t="n">
        <v>10750</v>
      </c>
      <c r="J19" s="10" t="n">
        <v>6450</v>
      </c>
      <c r="K19" s="10" t="n">
        <v>0</v>
      </c>
      <c r="L19" s="10" t="n">
        <v>10300</v>
      </c>
      <c r="M19" s="10" t="n">
        <f aca="false">I19-J19</f>
        <v>4300</v>
      </c>
      <c r="N19" s="10" t="n">
        <f aca="false">IFERROR(M19/I19,0)</f>
        <v>0.4</v>
      </c>
      <c r="O19" s="10" t="n">
        <f aca="false">IFERROR(H19/F19,0)</f>
        <v>0.00776276975624903</v>
      </c>
      <c r="P19" s="10" t="n">
        <f aca="false">IFERROR(K19/H19,0)</f>
        <v>0</v>
      </c>
      <c r="Q19" s="10" t="str">
        <f aca="false">IF(AND(N19&gt;=Assumptions!$B$2,O19&gt;=Assumptions!$B$3),"On Target","Review")</f>
        <v>Review</v>
      </c>
    </row>
    <row r="20" customFormat="false" ht="15" hidden="false" customHeight="true" outlineLevel="0" collapsed="false">
      <c r="A20" s="10" t="s">
        <v>117</v>
      </c>
      <c r="B20" s="10" t="s">
        <v>83</v>
      </c>
      <c r="C20" s="10" t="s">
        <v>100</v>
      </c>
      <c r="D20" s="10" t="s">
        <v>114</v>
      </c>
      <c r="E20" s="10" t="s">
        <v>112</v>
      </c>
      <c r="F20" s="10" t="n">
        <v>6614</v>
      </c>
      <c r="G20" s="10" t="n">
        <v>231</v>
      </c>
      <c r="H20" s="10" t="n">
        <v>31</v>
      </c>
      <c r="I20" s="10" t="n">
        <v>8680</v>
      </c>
      <c r="J20" s="10" t="n">
        <v>4426.8</v>
      </c>
      <c r="K20" s="10" t="n">
        <v>10</v>
      </c>
      <c r="L20" s="10" t="n">
        <v>12100</v>
      </c>
      <c r="M20" s="10" t="n">
        <f aca="false">I20-J20</f>
        <v>4253.2</v>
      </c>
      <c r="N20" s="10" t="n">
        <f aca="false">IFERROR(M20/I20,0)</f>
        <v>0.49</v>
      </c>
      <c r="O20" s="10" t="n">
        <f aca="false">IFERROR(H20/F20,0)</f>
        <v>0.00468702751738736</v>
      </c>
      <c r="P20" s="10" t="n">
        <f aca="false">IFERROR(K20/H20,0)</f>
        <v>0.32258064516129</v>
      </c>
      <c r="Q20" s="10" t="str">
        <f aca="false">IF(AND(N20&gt;=Assumptions!$B$2,O20&gt;=Assumptions!$B$3),"On Target","Review")</f>
        <v>Review</v>
      </c>
    </row>
    <row r="21" customFormat="false" ht="15" hidden="false" customHeight="true" outlineLevel="0" collapsed="false">
      <c r="A21" s="10" t="s">
        <v>118</v>
      </c>
      <c r="B21" s="10" t="s">
        <v>88</v>
      </c>
      <c r="C21" s="10" t="s">
        <v>100</v>
      </c>
      <c r="D21" s="10" t="s">
        <v>114</v>
      </c>
      <c r="E21" s="10" t="s">
        <v>112</v>
      </c>
      <c r="F21" s="10" t="n">
        <v>6787</v>
      </c>
      <c r="G21" s="10" t="n">
        <v>278</v>
      </c>
      <c r="H21" s="10" t="n">
        <v>41</v>
      </c>
      <c r="I21" s="10" t="n">
        <v>14145</v>
      </c>
      <c r="J21" s="10" t="n">
        <v>7850.48</v>
      </c>
      <c r="K21" s="10" t="n">
        <v>1</v>
      </c>
      <c r="L21" s="10" t="n">
        <v>13900</v>
      </c>
      <c r="M21" s="10" t="n">
        <f aca="false">I21-J21</f>
        <v>6294.52</v>
      </c>
      <c r="N21" s="10" t="n">
        <f aca="false">IFERROR(M21/I21,0)</f>
        <v>0.444999646518204</v>
      </c>
      <c r="O21" s="10" t="n">
        <f aca="false">IFERROR(H21/F21,0)</f>
        <v>0.00604096066008546</v>
      </c>
      <c r="P21" s="10" t="n">
        <f aca="false">IFERROR(K21/H21,0)</f>
        <v>0.024390243902439</v>
      </c>
      <c r="Q21" s="10" t="str">
        <f aca="false">IF(AND(N21&gt;=Assumptions!$B$2,O21&gt;=Assumptions!$B$3),"On Target","Review")</f>
        <v>Review</v>
      </c>
    </row>
    <row r="22" customFormat="false" ht="15" hidden="false" customHeight="true" outlineLevel="0" collapsed="false">
      <c r="A22" s="10" t="s">
        <v>119</v>
      </c>
      <c r="B22" s="10" t="s">
        <v>90</v>
      </c>
      <c r="C22" s="10" t="s">
        <v>100</v>
      </c>
      <c r="D22" s="10" t="s">
        <v>85</v>
      </c>
      <c r="E22" s="10" t="s">
        <v>112</v>
      </c>
      <c r="F22" s="10" t="n">
        <v>6960</v>
      </c>
      <c r="G22" s="10" t="n">
        <v>327</v>
      </c>
      <c r="H22" s="10" t="n">
        <v>29</v>
      </c>
      <c r="I22" s="10" t="n">
        <v>4350</v>
      </c>
      <c r="J22" s="10" t="n">
        <v>2610</v>
      </c>
      <c r="K22" s="10" t="n">
        <v>0</v>
      </c>
      <c r="L22" s="10" t="n">
        <v>8500</v>
      </c>
      <c r="M22" s="10" t="n">
        <f aca="false">I22-J22</f>
        <v>1740</v>
      </c>
      <c r="N22" s="10" t="n">
        <f aca="false">IFERROR(M22/I22,0)</f>
        <v>0.4</v>
      </c>
      <c r="O22" s="10" t="n">
        <f aca="false">IFERROR(H22/F22,0)</f>
        <v>0.00416666666666667</v>
      </c>
      <c r="P22" s="10" t="n">
        <f aca="false">IFERROR(K22/H22,0)</f>
        <v>0</v>
      </c>
      <c r="Q22" s="10" t="str">
        <f aca="false">IF(AND(N22&gt;=Assumptions!$B$2,O22&gt;=Assumptions!$B$3),"On Target","Review")</f>
        <v>Review</v>
      </c>
    </row>
    <row r="23" customFormat="false" ht="15" hidden="false" customHeight="true" outlineLevel="0" collapsed="false">
      <c r="A23" s="10" t="s">
        <v>120</v>
      </c>
      <c r="B23" s="10" t="s">
        <v>92</v>
      </c>
      <c r="C23" s="10" t="s">
        <v>105</v>
      </c>
      <c r="D23" s="10" t="s">
        <v>85</v>
      </c>
      <c r="E23" s="10" t="s">
        <v>121</v>
      </c>
      <c r="F23" s="10" t="n">
        <v>7133</v>
      </c>
      <c r="G23" s="10" t="n">
        <v>378</v>
      </c>
      <c r="H23" s="10" t="n">
        <v>39</v>
      </c>
      <c r="I23" s="10" t="n">
        <v>8385</v>
      </c>
      <c r="J23" s="10" t="n">
        <v>4276.35</v>
      </c>
      <c r="K23" s="10" t="n">
        <v>7</v>
      </c>
      <c r="L23" s="10" t="n">
        <v>10300</v>
      </c>
      <c r="M23" s="10" t="n">
        <f aca="false">I23-J23</f>
        <v>4108.65</v>
      </c>
      <c r="N23" s="10" t="n">
        <f aca="false">IFERROR(M23/I23,0)</f>
        <v>0.49</v>
      </c>
      <c r="O23" s="10" t="n">
        <f aca="false">IFERROR(H23/F23,0)</f>
        <v>0.0054675452123931</v>
      </c>
      <c r="P23" s="10" t="n">
        <f aca="false">IFERROR(K23/H23,0)</f>
        <v>0.17948717948718</v>
      </c>
      <c r="Q23" s="10" t="str">
        <f aca="false">IF(AND(N23&gt;=Assumptions!$B$2,O23&gt;=Assumptions!$B$3),"On Target","Review")</f>
        <v>Review</v>
      </c>
    </row>
    <row r="24" customFormat="false" ht="15" hidden="false" customHeight="true" outlineLevel="0" collapsed="false">
      <c r="A24" s="10" t="s">
        <v>122</v>
      </c>
      <c r="B24" s="10" t="s">
        <v>95</v>
      </c>
      <c r="C24" s="10" t="s">
        <v>105</v>
      </c>
      <c r="D24" s="10" t="s">
        <v>85</v>
      </c>
      <c r="E24" s="10" t="s">
        <v>121</v>
      </c>
      <c r="F24" s="10" t="n">
        <v>7306</v>
      </c>
      <c r="G24" s="10" t="n">
        <v>431</v>
      </c>
      <c r="H24" s="10" t="n">
        <v>51</v>
      </c>
      <c r="I24" s="10" t="n">
        <v>14280</v>
      </c>
      <c r="J24" s="10" t="n">
        <v>7925.4</v>
      </c>
      <c r="K24" s="10" t="n">
        <v>12</v>
      </c>
      <c r="L24" s="10" t="n">
        <v>12100</v>
      </c>
      <c r="M24" s="10" t="n">
        <f aca="false">I24-J24</f>
        <v>6354.6</v>
      </c>
      <c r="N24" s="10" t="n">
        <f aca="false">IFERROR(M24/I24,0)</f>
        <v>0.445</v>
      </c>
      <c r="O24" s="10" t="n">
        <f aca="false">IFERROR(H24/F24,0)</f>
        <v>0.0069805639200657</v>
      </c>
      <c r="P24" s="10" t="n">
        <f aca="false">IFERROR(K24/H24,0)</f>
        <v>0.235294117647059</v>
      </c>
      <c r="Q24" s="10" t="str">
        <f aca="false">IF(AND(N24&gt;=Assumptions!$B$2,O24&gt;=Assumptions!$B$3),"On Target","Review")</f>
        <v>Review</v>
      </c>
    </row>
    <row r="25" customFormat="false" ht="15" hidden="false" customHeight="true" outlineLevel="0" collapsed="false">
      <c r="A25" s="10" t="s">
        <v>123</v>
      </c>
      <c r="B25" s="10" t="s">
        <v>97</v>
      </c>
      <c r="C25" s="10" t="s">
        <v>105</v>
      </c>
      <c r="D25" s="10" t="s">
        <v>85</v>
      </c>
      <c r="E25" s="10" t="s">
        <v>121</v>
      </c>
      <c r="F25" s="10" t="n">
        <v>7479</v>
      </c>
      <c r="G25" s="10" t="n">
        <v>486</v>
      </c>
      <c r="H25" s="10" t="n">
        <v>65</v>
      </c>
      <c r="I25" s="10" t="n">
        <v>22425</v>
      </c>
      <c r="J25" s="10" t="n">
        <v>13455</v>
      </c>
      <c r="K25" s="10" t="n">
        <v>3</v>
      </c>
      <c r="L25" s="10" t="n">
        <v>13900</v>
      </c>
      <c r="M25" s="10" t="n">
        <f aca="false">I25-J25</f>
        <v>8970</v>
      </c>
      <c r="N25" s="10" t="n">
        <f aca="false">IFERROR(M25/I25,0)</f>
        <v>0.4</v>
      </c>
      <c r="O25" s="10" t="n">
        <f aca="false">IFERROR(H25/F25,0)</f>
        <v>0.00869100147078486</v>
      </c>
      <c r="P25" s="10" t="n">
        <f aca="false">IFERROR(K25/H25,0)</f>
        <v>0.0461538461538462</v>
      </c>
      <c r="Q25" s="10" t="str">
        <f aca="false">IF(AND(N25&gt;=Assumptions!$B$2,O25&gt;=Assumptions!$B$3),"On Target","Review")</f>
        <v>Review</v>
      </c>
    </row>
    <row r="26" customFormat="false" ht="15" hidden="false" customHeight="true" outlineLevel="0" collapsed="false">
      <c r="A26" s="10" t="s">
        <v>124</v>
      </c>
      <c r="B26" s="10" t="s">
        <v>83</v>
      </c>
      <c r="C26" s="10" t="s">
        <v>84</v>
      </c>
      <c r="D26" s="10" t="s">
        <v>85</v>
      </c>
      <c r="E26" s="10" t="s">
        <v>121</v>
      </c>
      <c r="F26" s="10" t="n">
        <v>7652</v>
      </c>
      <c r="G26" s="10" t="n">
        <v>267</v>
      </c>
      <c r="H26" s="10" t="n">
        <v>40</v>
      </c>
      <c r="I26" s="10" t="n">
        <v>6000</v>
      </c>
      <c r="J26" s="10" t="n">
        <v>3060</v>
      </c>
      <c r="K26" s="10" t="n">
        <v>2</v>
      </c>
      <c r="L26" s="10" t="n">
        <v>8500</v>
      </c>
      <c r="M26" s="10" t="n">
        <f aca="false">I26-J26</f>
        <v>2940</v>
      </c>
      <c r="N26" s="10" t="n">
        <f aca="false">IFERROR(M26/I26,0)</f>
        <v>0.49</v>
      </c>
      <c r="O26" s="10" t="n">
        <f aca="false">IFERROR(H26/F26,0)</f>
        <v>0.00522739153162572</v>
      </c>
      <c r="P26" s="10" t="n">
        <f aca="false">IFERROR(K26/H26,0)</f>
        <v>0.05</v>
      </c>
      <c r="Q26" s="10" t="str">
        <f aca="false">IF(AND(N26&gt;=Assumptions!$B$2,O26&gt;=Assumptions!$B$3),"On Target","Review")</f>
        <v>Review</v>
      </c>
    </row>
    <row r="27" customFormat="false" ht="15" hidden="false" customHeight="true" outlineLevel="0" collapsed="false">
      <c r="A27" s="10" t="s">
        <v>125</v>
      </c>
      <c r="B27" s="10" t="s">
        <v>88</v>
      </c>
      <c r="C27" s="10" t="s">
        <v>84</v>
      </c>
      <c r="D27" s="10" t="s">
        <v>98</v>
      </c>
      <c r="E27" s="10" t="s">
        <v>121</v>
      </c>
      <c r="F27" s="10" t="n">
        <v>7825</v>
      </c>
      <c r="G27" s="10" t="n">
        <v>320</v>
      </c>
      <c r="H27" s="10" t="n">
        <v>28</v>
      </c>
      <c r="I27" s="10" t="n">
        <v>6020</v>
      </c>
      <c r="J27" s="10" t="n">
        <v>3341.1</v>
      </c>
      <c r="K27" s="10" t="n">
        <v>5</v>
      </c>
      <c r="L27" s="10" t="n">
        <v>10300</v>
      </c>
      <c r="M27" s="10" t="n">
        <f aca="false">I27-J27</f>
        <v>2678.9</v>
      </c>
      <c r="N27" s="10" t="n">
        <f aca="false">IFERROR(M27/I27,0)</f>
        <v>0.445</v>
      </c>
      <c r="O27" s="10" t="n">
        <f aca="false">IFERROR(H27/F27,0)</f>
        <v>0.00357827476038339</v>
      </c>
      <c r="P27" s="10" t="n">
        <f aca="false">IFERROR(K27/H27,0)</f>
        <v>0.178571428571429</v>
      </c>
      <c r="Q27" s="10" t="str">
        <f aca="false">IF(AND(N27&gt;=Assumptions!$B$2,O27&gt;=Assumptions!$B$3),"On Target","Review")</f>
        <v>Review</v>
      </c>
    </row>
    <row r="28" customFormat="false" ht="15" hidden="false" customHeight="true" outlineLevel="0" collapsed="false">
      <c r="A28" s="10" t="s">
        <v>126</v>
      </c>
      <c r="B28" s="10" t="s">
        <v>90</v>
      </c>
      <c r="C28" s="10" t="s">
        <v>84</v>
      </c>
      <c r="D28" s="10" t="s">
        <v>98</v>
      </c>
      <c r="E28" s="10" t="s">
        <v>121</v>
      </c>
      <c r="F28" s="10" t="n">
        <v>7998</v>
      </c>
      <c r="G28" s="10" t="n">
        <v>375</v>
      </c>
      <c r="H28" s="10" t="n">
        <v>39</v>
      </c>
      <c r="I28" s="10" t="n">
        <v>10920</v>
      </c>
      <c r="J28" s="10" t="n">
        <v>6552</v>
      </c>
      <c r="K28" s="10" t="n">
        <v>8</v>
      </c>
      <c r="L28" s="10" t="n">
        <v>12100</v>
      </c>
      <c r="M28" s="10" t="n">
        <f aca="false">I28-J28</f>
        <v>4368</v>
      </c>
      <c r="N28" s="10" t="n">
        <f aca="false">IFERROR(M28/I28,0)</f>
        <v>0.4</v>
      </c>
      <c r="O28" s="10" t="n">
        <f aca="false">IFERROR(H28/F28,0)</f>
        <v>0.00487621905476369</v>
      </c>
      <c r="P28" s="10" t="n">
        <f aca="false">IFERROR(K28/H28,0)</f>
        <v>0.205128205128205</v>
      </c>
      <c r="Q28" s="10" t="str">
        <f aca="false">IF(AND(N28&gt;=Assumptions!$B$2,O28&gt;=Assumptions!$B$3),"On Target","Review")</f>
        <v>Review</v>
      </c>
    </row>
    <row r="29" customFormat="false" ht="15" hidden="false" customHeight="true" outlineLevel="0" collapsed="false">
      <c r="A29" s="10" t="s">
        <v>127</v>
      </c>
      <c r="B29" s="10" t="s">
        <v>92</v>
      </c>
      <c r="C29" s="10" t="s">
        <v>93</v>
      </c>
      <c r="D29" s="10" t="s">
        <v>98</v>
      </c>
      <c r="E29" s="10" t="s">
        <v>121</v>
      </c>
      <c r="F29" s="10" t="n">
        <v>8171</v>
      </c>
      <c r="G29" s="10" t="n">
        <v>433</v>
      </c>
      <c r="H29" s="10" t="n">
        <v>51</v>
      </c>
      <c r="I29" s="10" t="n">
        <v>17595</v>
      </c>
      <c r="J29" s="10" t="n">
        <v>8973.45</v>
      </c>
      <c r="K29" s="10" t="n">
        <v>9</v>
      </c>
      <c r="L29" s="10" t="n">
        <v>13900</v>
      </c>
      <c r="M29" s="10" t="n">
        <f aca="false">I29-J29</f>
        <v>8621.55</v>
      </c>
      <c r="N29" s="10" t="n">
        <f aca="false">IFERROR(M29/I29,0)</f>
        <v>0.49</v>
      </c>
      <c r="O29" s="10" t="n">
        <f aca="false">IFERROR(H29/F29,0)</f>
        <v>0.00624158609717293</v>
      </c>
      <c r="P29" s="10" t="n">
        <f aca="false">IFERROR(K29/H29,0)</f>
        <v>0.176470588235294</v>
      </c>
      <c r="Q29" s="10" t="str">
        <f aca="false">IF(AND(N29&gt;=Assumptions!$B$2,O29&gt;=Assumptions!$B$3),"On Target","Review")</f>
        <v>Review</v>
      </c>
    </row>
    <row r="30" customFormat="false" ht="15" hidden="false" customHeight="true" outlineLevel="0" collapsed="false">
      <c r="A30" s="10" t="s">
        <v>128</v>
      </c>
      <c r="B30" s="10" t="s">
        <v>95</v>
      </c>
      <c r="C30" s="10" t="s">
        <v>93</v>
      </c>
      <c r="D30" s="10" t="s">
        <v>98</v>
      </c>
      <c r="E30" s="10" t="s">
        <v>86</v>
      </c>
      <c r="F30" s="10" t="n">
        <v>8344</v>
      </c>
      <c r="G30" s="10" t="n">
        <v>492</v>
      </c>
      <c r="H30" s="10" t="n">
        <v>66</v>
      </c>
      <c r="I30" s="10" t="n">
        <v>9900</v>
      </c>
      <c r="J30" s="10" t="n">
        <v>5494.5</v>
      </c>
      <c r="K30" s="10" t="n">
        <v>15</v>
      </c>
      <c r="L30" s="10" t="n">
        <v>8500</v>
      </c>
      <c r="M30" s="10" t="n">
        <f aca="false">I30-J30</f>
        <v>4405.5</v>
      </c>
      <c r="N30" s="10" t="n">
        <f aca="false">IFERROR(M30/I30,0)</f>
        <v>0.445</v>
      </c>
      <c r="O30" s="10" t="n">
        <f aca="false">IFERROR(H30/F30,0)</f>
        <v>0.00790987535953979</v>
      </c>
      <c r="P30" s="10" t="n">
        <f aca="false">IFERROR(K30/H30,0)</f>
        <v>0.227272727272727</v>
      </c>
      <c r="Q30" s="10" t="str">
        <f aca="false">IF(AND(N30&gt;=Assumptions!$B$2,O30&gt;=Assumptions!$B$3),"On Target","Review")</f>
        <v>Review</v>
      </c>
    </row>
    <row r="31" customFormat="false" ht="15" hidden="false" customHeight="true" outlineLevel="0" collapsed="false">
      <c r="A31" s="10" t="s">
        <v>129</v>
      </c>
      <c r="B31" s="10" t="s">
        <v>97</v>
      </c>
      <c r="C31" s="10" t="s">
        <v>93</v>
      </c>
      <c r="D31" s="10" t="s">
        <v>98</v>
      </c>
      <c r="E31" s="10" t="s">
        <v>86</v>
      </c>
      <c r="F31" s="10" t="n">
        <v>8517</v>
      </c>
      <c r="G31" s="10" t="n">
        <v>553</v>
      </c>
      <c r="H31" s="10" t="n">
        <v>82</v>
      </c>
      <c r="I31" s="10" t="n">
        <v>17630</v>
      </c>
      <c r="J31" s="10" t="n">
        <v>10578</v>
      </c>
      <c r="K31" s="10" t="n">
        <v>3</v>
      </c>
      <c r="L31" s="10" t="n">
        <v>10300</v>
      </c>
      <c r="M31" s="10" t="n">
        <f aca="false">I31-J31</f>
        <v>7052</v>
      </c>
      <c r="N31" s="10" t="n">
        <f aca="false">IFERROR(M31/I31,0)</f>
        <v>0.4</v>
      </c>
      <c r="O31" s="10" t="n">
        <f aca="false">IFERROR(H31/F31,0)</f>
        <v>0.00962780321709522</v>
      </c>
      <c r="P31" s="10" t="n">
        <f aca="false">IFERROR(K31/H31,0)</f>
        <v>0.0365853658536585</v>
      </c>
      <c r="Q31" s="10" t="str">
        <f aca="false">IF(AND(N31&gt;=Assumptions!$B$2,O31&gt;=Assumptions!$B$3),"On Target","Review")</f>
        <v>Review</v>
      </c>
    </row>
    <row r="32" customFormat="false" ht="15" hidden="false" customHeight="true" outlineLevel="0" collapsed="false">
      <c r="A32" s="10" t="s">
        <v>130</v>
      </c>
      <c r="B32" s="10" t="s">
        <v>83</v>
      </c>
      <c r="C32" s="10" t="s">
        <v>100</v>
      </c>
      <c r="D32" s="10" t="s">
        <v>107</v>
      </c>
      <c r="E32" s="10" t="s">
        <v>86</v>
      </c>
      <c r="F32" s="10" t="n">
        <v>8690</v>
      </c>
      <c r="G32" s="10" t="n">
        <v>304</v>
      </c>
      <c r="H32" s="10" t="n">
        <v>27</v>
      </c>
      <c r="I32" s="10" t="n">
        <v>7560</v>
      </c>
      <c r="J32" s="10" t="n">
        <v>3855.6</v>
      </c>
      <c r="K32" s="10" t="n">
        <v>0</v>
      </c>
      <c r="L32" s="10" t="n">
        <v>12100</v>
      </c>
      <c r="M32" s="10" t="n">
        <f aca="false">I32-J32</f>
        <v>3704.4</v>
      </c>
      <c r="N32" s="10" t="n">
        <f aca="false">IFERROR(M32/I32,0)</f>
        <v>0.49</v>
      </c>
      <c r="O32" s="10" t="n">
        <f aca="false">IFERROR(H32/F32,0)</f>
        <v>0.00310701956271577</v>
      </c>
      <c r="P32" s="10" t="n">
        <f aca="false">IFERROR(K32/H32,0)</f>
        <v>0</v>
      </c>
      <c r="Q32" s="10" t="str">
        <f aca="false">IF(AND(N32&gt;=Assumptions!$B$2,O32&gt;=Assumptions!$B$3),"On Target","Review")</f>
        <v>Review</v>
      </c>
    </row>
    <row r="33" customFormat="false" ht="15" hidden="false" customHeight="true" outlineLevel="0" collapsed="false">
      <c r="A33" s="10" t="s">
        <v>131</v>
      </c>
      <c r="B33" s="10" t="s">
        <v>88</v>
      </c>
      <c r="C33" s="10" t="s">
        <v>100</v>
      </c>
      <c r="D33" s="10" t="s">
        <v>107</v>
      </c>
      <c r="E33" s="10" t="s">
        <v>86</v>
      </c>
      <c r="F33" s="10" t="n">
        <v>8863</v>
      </c>
      <c r="G33" s="10" t="n">
        <v>363</v>
      </c>
      <c r="H33" s="10" t="n">
        <v>38</v>
      </c>
      <c r="I33" s="10" t="n">
        <v>13110</v>
      </c>
      <c r="J33" s="10" t="n">
        <v>7276.05</v>
      </c>
      <c r="K33" s="10" t="n">
        <v>2</v>
      </c>
      <c r="L33" s="10" t="n">
        <v>13900</v>
      </c>
      <c r="M33" s="10" t="n">
        <f aca="false">I33-J33</f>
        <v>5833.95</v>
      </c>
      <c r="N33" s="10" t="n">
        <f aca="false">IFERROR(M33/I33,0)</f>
        <v>0.445</v>
      </c>
      <c r="O33" s="10" t="n">
        <f aca="false">IFERROR(H33/F33,0)</f>
        <v>0.004287487306781</v>
      </c>
      <c r="P33" s="10" t="n">
        <f aca="false">IFERROR(K33/H33,0)</f>
        <v>0.0526315789473684</v>
      </c>
      <c r="Q33" s="10" t="str">
        <f aca="false">IF(AND(N33&gt;=Assumptions!$B$2,O33&gt;=Assumptions!$B$3),"On Target","Review")</f>
        <v>Review</v>
      </c>
    </row>
    <row r="34" customFormat="false" ht="15" hidden="false" customHeight="true" outlineLevel="0" collapsed="false">
      <c r="A34" s="10" t="s">
        <v>132</v>
      </c>
      <c r="B34" s="10" t="s">
        <v>90</v>
      </c>
      <c r="C34" s="10" t="s">
        <v>100</v>
      </c>
      <c r="D34" s="10" t="s">
        <v>107</v>
      </c>
      <c r="E34" s="10" t="s">
        <v>86</v>
      </c>
      <c r="F34" s="10" t="n">
        <v>9036</v>
      </c>
      <c r="G34" s="10" t="n">
        <v>424</v>
      </c>
      <c r="H34" s="10" t="n">
        <v>50</v>
      </c>
      <c r="I34" s="10" t="n">
        <v>7500</v>
      </c>
      <c r="J34" s="10" t="n">
        <v>4500</v>
      </c>
      <c r="K34" s="10" t="n">
        <v>11</v>
      </c>
      <c r="L34" s="10" t="n">
        <v>8500</v>
      </c>
      <c r="M34" s="10" t="n">
        <f aca="false">I34-J34</f>
        <v>3000</v>
      </c>
      <c r="N34" s="10" t="n">
        <f aca="false">IFERROR(M34/I34,0)</f>
        <v>0.4</v>
      </c>
      <c r="O34" s="10" t="n">
        <f aca="false">IFERROR(H34/F34,0)</f>
        <v>0.00553342186808322</v>
      </c>
      <c r="P34" s="10" t="n">
        <f aca="false">IFERROR(K34/H34,0)</f>
        <v>0.22</v>
      </c>
      <c r="Q34" s="10" t="str">
        <f aca="false">IF(AND(N34&gt;=Assumptions!$B$2,O34&gt;=Assumptions!$B$3),"On Target","Review")</f>
        <v>Review</v>
      </c>
    </row>
    <row r="35" customFormat="false" ht="15" hidden="false" customHeight="true" outlineLevel="0" collapsed="false">
      <c r="A35" s="10" t="s">
        <v>133</v>
      </c>
      <c r="B35" s="10" t="s">
        <v>92</v>
      </c>
      <c r="C35" s="10" t="s">
        <v>105</v>
      </c>
      <c r="D35" s="10" t="s">
        <v>107</v>
      </c>
      <c r="E35" s="10" t="s">
        <v>86</v>
      </c>
      <c r="F35" s="10" t="n">
        <v>9209</v>
      </c>
      <c r="G35" s="10" t="n">
        <v>488</v>
      </c>
      <c r="H35" s="10" t="n">
        <v>65</v>
      </c>
      <c r="I35" s="10" t="n">
        <v>13975</v>
      </c>
      <c r="J35" s="10" t="n">
        <v>7127.25</v>
      </c>
      <c r="K35" s="10" t="n">
        <v>11</v>
      </c>
      <c r="L35" s="10" t="n">
        <v>10300</v>
      </c>
      <c r="M35" s="10" t="n">
        <f aca="false">I35-J35</f>
        <v>6847.75</v>
      </c>
      <c r="N35" s="10" t="n">
        <f aca="false">IFERROR(M35/I35,0)</f>
        <v>0.49</v>
      </c>
      <c r="O35" s="10" t="n">
        <f aca="false">IFERROR(H35/F35,0)</f>
        <v>0.00705831252036052</v>
      </c>
      <c r="P35" s="10" t="n">
        <f aca="false">IFERROR(K35/H35,0)</f>
        <v>0.169230769230769</v>
      </c>
      <c r="Q35" s="10" t="str">
        <f aca="false">IF(AND(N35&gt;=Assumptions!$B$2,O35&gt;=Assumptions!$B$3),"On Target","Review")</f>
        <v>Review</v>
      </c>
    </row>
    <row r="36" customFormat="false" ht="15" hidden="false" customHeight="true" outlineLevel="0" collapsed="false">
      <c r="A36" s="10" t="s">
        <v>134</v>
      </c>
      <c r="B36" s="10" t="s">
        <v>95</v>
      </c>
      <c r="C36" s="10" t="s">
        <v>105</v>
      </c>
      <c r="D36" s="10" t="s">
        <v>107</v>
      </c>
      <c r="E36" s="10" t="s">
        <v>86</v>
      </c>
      <c r="F36" s="10" t="n">
        <v>9382</v>
      </c>
      <c r="G36" s="10" t="n">
        <v>553</v>
      </c>
      <c r="H36" s="10" t="n">
        <v>82</v>
      </c>
      <c r="I36" s="10" t="n">
        <v>22960</v>
      </c>
      <c r="J36" s="10" t="n">
        <v>12742.8</v>
      </c>
      <c r="K36" s="10" t="n">
        <v>18</v>
      </c>
      <c r="L36" s="10" t="n">
        <v>12100</v>
      </c>
      <c r="M36" s="10" t="n">
        <f aca="false">I36-J36</f>
        <v>10217.2</v>
      </c>
      <c r="N36" s="10" t="n">
        <f aca="false">IFERROR(M36/I36,0)</f>
        <v>0.445</v>
      </c>
      <c r="O36" s="10" t="n">
        <f aca="false">IFERROR(H36/F36,0)</f>
        <v>0.00874014069494777</v>
      </c>
      <c r="P36" s="10" t="n">
        <f aca="false">IFERROR(K36/H36,0)</f>
        <v>0.219512195121951</v>
      </c>
      <c r="Q36" s="10" t="str">
        <f aca="false">IF(AND(N36&gt;=Assumptions!$B$2,O36&gt;=Assumptions!$B$3),"On Target","Review")</f>
        <v>Review</v>
      </c>
    </row>
    <row r="37" customFormat="false" ht="15" hidden="false" customHeight="true" outlineLevel="0" collapsed="false">
      <c r="A37" s="10" t="s">
        <v>135</v>
      </c>
      <c r="B37" s="10" t="s">
        <v>97</v>
      </c>
      <c r="C37" s="10" t="s">
        <v>105</v>
      </c>
      <c r="D37" s="10" t="s">
        <v>114</v>
      </c>
      <c r="E37" s="10" t="s">
        <v>102</v>
      </c>
      <c r="F37" s="10" t="n">
        <v>9555</v>
      </c>
      <c r="G37" s="10" t="n">
        <v>621</v>
      </c>
      <c r="H37" s="10" t="n">
        <v>55</v>
      </c>
      <c r="I37" s="10" t="n">
        <v>18975</v>
      </c>
      <c r="J37" s="10" t="n">
        <v>11385</v>
      </c>
      <c r="K37" s="10" t="n">
        <v>10</v>
      </c>
      <c r="L37" s="10" t="n">
        <v>13900</v>
      </c>
      <c r="M37" s="10" t="n">
        <f aca="false">I37-J37</f>
        <v>7590</v>
      </c>
      <c r="N37" s="10" t="n">
        <f aca="false">IFERROR(M37/I37,0)</f>
        <v>0.4</v>
      </c>
      <c r="O37" s="10" t="n">
        <f aca="false">IFERROR(H37/F37,0)</f>
        <v>0.00575614861329147</v>
      </c>
      <c r="P37" s="10" t="n">
        <f aca="false">IFERROR(K37/H37,0)</f>
        <v>0.181818181818182</v>
      </c>
      <c r="Q37" s="10" t="str">
        <f aca="false">IF(AND(N37&gt;=Assumptions!$B$2,O37&gt;=Assumptions!$B$3),"On Target","Review")</f>
        <v>Review</v>
      </c>
    </row>
    <row r="38" customFormat="false" ht="15" hidden="false" customHeight="true" outlineLevel="0" collapsed="false">
      <c r="A38" s="10" t="s">
        <v>136</v>
      </c>
      <c r="B38" s="10" t="s">
        <v>83</v>
      </c>
      <c r="C38" s="10" t="s">
        <v>84</v>
      </c>
      <c r="D38" s="10" t="s">
        <v>114</v>
      </c>
      <c r="E38" s="10" t="s">
        <v>102</v>
      </c>
      <c r="F38" s="10" t="n">
        <v>9728</v>
      </c>
      <c r="G38" s="10" t="n">
        <v>340</v>
      </c>
      <c r="H38" s="10" t="n">
        <v>35</v>
      </c>
      <c r="I38" s="10" t="n">
        <v>5250</v>
      </c>
      <c r="J38" s="10" t="n">
        <v>2677.5</v>
      </c>
      <c r="K38" s="10" t="n">
        <v>0</v>
      </c>
      <c r="L38" s="10" t="n">
        <v>8500</v>
      </c>
      <c r="M38" s="10" t="n">
        <f aca="false">I38-J38</f>
        <v>2572.5</v>
      </c>
      <c r="N38" s="10" t="n">
        <f aca="false">IFERROR(M38/I38,0)</f>
        <v>0.49</v>
      </c>
      <c r="O38" s="10" t="n">
        <f aca="false">IFERROR(H38/F38,0)</f>
        <v>0.00359786184210526</v>
      </c>
      <c r="P38" s="10" t="n">
        <f aca="false">IFERROR(K38/H38,0)</f>
        <v>0</v>
      </c>
      <c r="Q38" s="10" t="str">
        <f aca="false">IF(AND(N38&gt;=Assumptions!$B$2,O38&gt;=Assumptions!$B$3),"On Target","Review")</f>
        <v>Review</v>
      </c>
    </row>
    <row r="39" customFormat="false" ht="15" hidden="false" customHeight="true" outlineLevel="0" collapsed="false">
      <c r="A39" s="10" t="s">
        <v>137</v>
      </c>
      <c r="B39" s="10" t="s">
        <v>88</v>
      </c>
      <c r="C39" s="10" t="s">
        <v>84</v>
      </c>
      <c r="D39" s="10" t="s">
        <v>114</v>
      </c>
      <c r="E39" s="10" t="s">
        <v>102</v>
      </c>
      <c r="F39" s="10" t="n">
        <v>9901</v>
      </c>
      <c r="G39" s="10" t="n">
        <v>405</v>
      </c>
      <c r="H39" s="10" t="n">
        <v>48</v>
      </c>
      <c r="I39" s="10" t="n">
        <v>10320</v>
      </c>
      <c r="J39" s="10" t="n">
        <v>5727.6</v>
      </c>
      <c r="K39" s="10" t="n">
        <v>9</v>
      </c>
      <c r="L39" s="10" t="n">
        <v>10300</v>
      </c>
      <c r="M39" s="10" t="n">
        <f aca="false">I39-J39</f>
        <v>4592.4</v>
      </c>
      <c r="N39" s="10" t="n">
        <f aca="false">IFERROR(M39/I39,0)</f>
        <v>0.445</v>
      </c>
      <c r="O39" s="10" t="n">
        <f aca="false">IFERROR(H39/F39,0)</f>
        <v>0.00484799515200485</v>
      </c>
      <c r="P39" s="10" t="n">
        <f aca="false">IFERROR(K39/H39,0)</f>
        <v>0.1875</v>
      </c>
      <c r="Q39" s="10" t="str">
        <f aca="false">IF(AND(N39&gt;=Assumptions!$B$2,O39&gt;=Assumptions!$B$3),"On Target","Review")</f>
        <v>Review</v>
      </c>
    </row>
    <row r="40" customFormat="false" ht="15" hidden="false" customHeight="true" outlineLevel="0" collapsed="false">
      <c r="A40" s="10" t="s">
        <v>138</v>
      </c>
      <c r="B40" s="10" t="s">
        <v>90</v>
      </c>
      <c r="C40" s="10" t="s">
        <v>84</v>
      </c>
      <c r="D40" s="10" t="s">
        <v>114</v>
      </c>
      <c r="E40" s="10" t="s">
        <v>102</v>
      </c>
      <c r="F40" s="10" t="n">
        <v>10074</v>
      </c>
      <c r="G40" s="10" t="n">
        <v>473</v>
      </c>
      <c r="H40" s="10" t="n">
        <v>63</v>
      </c>
      <c r="I40" s="10" t="n">
        <v>17640</v>
      </c>
      <c r="J40" s="10" t="n">
        <v>10584</v>
      </c>
      <c r="K40" s="10" t="n">
        <v>4</v>
      </c>
      <c r="L40" s="10" t="n">
        <v>12100</v>
      </c>
      <c r="M40" s="10" t="n">
        <f aca="false">I40-J40</f>
        <v>7056</v>
      </c>
      <c r="N40" s="10" t="n">
        <f aca="false">IFERROR(M40/I40,0)</f>
        <v>0.4</v>
      </c>
      <c r="O40" s="10" t="n">
        <f aca="false">IFERROR(H40/F40,0)</f>
        <v>0.00625372245384157</v>
      </c>
      <c r="P40" s="10" t="n">
        <f aca="false">IFERROR(K40/H40,0)</f>
        <v>0.0634920634920635</v>
      </c>
      <c r="Q40" s="10" t="str">
        <f aca="false">IF(AND(N40&gt;=Assumptions!$B$2,O40&gt;=Assumptions!$B$3),"On Target","Review")</f>
        <v>Review</v>
      </c>
    </row>
    <row r="41" customFormat="false" ht="15" hidden="false" customHeight="true" outlineLevel="0" collapsed="false">
      <c r="A41" s="10" t="s">
        <v>139</v>
      </c>
      <c r="B41" s="10" t="s">
        <v>92</v>
      </c>
      <c r="C41" s="10" t="s">
        <v>93</v>
      </c>
      <c r="D41" s="10" t="s">
        <v>114</v>
      </c>
      <c r="E41" s="10" t="s">
        <v>102</v>
      </c>
      <c r="F41" s="10" t="n">
        <v>10247</v>
      </c>
      <c r="G41" s="10" t="n">
        <v>543</v>
      </c>
      <c r="H41" s="10" t="n">
        <v>81</v>
      </c>
      <c r="I41" s="10" t="n">
        <v>27945</v>
      </c>
      <c r="J41" s="10" t="n">
        <v>14251.95</v>
      </c>
      <c r="K41" s="10" t="n">
        <v>5</v>
      </c>
      <c r="L41" s="10" t="n">
        <v>13900</v>
      </c>
      <c r="M41" s="10" t="n">
        <f aca="false">I41-J41</f>
        <v>13693.05</v>
      </c>
      <c r="N41" s="10" t="n">
        <f aca="false">IFERROR(M41/I41,0)</f>
        <v>0.49</v>
      </c>
      <c r="O41" s="10" t="n">
        <f aca="false">IFERROR(H41/F41,0)</f>
        <v>0.00790475261052015</v>
      </c>
      <c r="P41" s="10" t="n">
        <f aca="false">IFERROR(K41/H41,0)</f>
        <v>0.0617283950617284</v>
      </c>
      <c r="Q41" s="10" t="str">
        <f aca="false">IF(AND(N41&gt;=Assumptions!$B$2,O41&gt;=Assumptions!$B$3),"On Target","Review")</f>
        <v>Review</v>
      </c>
    </row>
    <row r="42" customFormat="false" ht="15" hidden="false" customHeight="true" outlineLevel="0" collapsed="false">
      <c r="A42" s="10" t="s">
        <v>140</v>
      </c>
      <c r="B42" s="10" t="s">
        <v>95</v>
      </c>
      <c r="C42" s="10" t="s">
        <v>93</v>
      </c>
      <c r="D42" s="10" t="s">
        <v>85</v>
      </c>
      <c r="E42" s="10" t="s">
        <v>102</v>
      </c>
      <c r="F42" s="10" t="n">
        <v>10420</v>
      </c>
      <c r="G42" s="10" t="n">
        <v>614</v>
      </c>
      <c r="H42" s="10" t="n">
        <v>55</v>
      </c>
      <c r="I42" s="10" t="n">
        <v>8250</v>
      </c>
      <c r="J42" s="10" t="n">
        <v>4578.75</v>
      </c>
      <c r="K42" s="10" t="n">
        <v>6</v>
      </c>
      <c r="L42" s="10" t="n">
        <v>8500</v>
      </c>
      <c r="M42" s="10" t="n">
        <f aca="false">I42-J42</f>
        <v>3671.25</v>
      </c>
      <c r="N42" s="10" t="n">
        <f aca="false">IFERROR(M42/I42,0)</f>
        <v>0.445</v>
      </c>
      <c r="O42" s="10" t="n">
        <f aca="false">IFERROR(H42/F42,0)</f>
        <v>0.00527831094049904</v>
      </c>
      <c r="P42" s="10" t="n">
        <f aca="false">IFERROR(K42/H42,0)</f>
        <v>0.109090909090909</v>
      </c>
      <c r="Q42" s="10" t="str">
        <f aca="false">IF(AND(N42&gt;=Assumptions!$B$2,O42&gt;=Assumptions!$B$3),"On Target","Review")</f>
        <v>Review</v>
      </c>
    </row>
    <row r="43" customFormat="false" ht="15" hidden="false" customHeight="true" outlineLevel="0" collapsed="false">
      <c r="A43" s="10" t="s">
        <v>141</v>
      </c>
      <c r="B43" s="10" t="s">
        <v>97</v>
      </c>
      <c r="C43" s="10" t="s">
        <v>93</v>
      </c>
      <c r="D43" s="10" t="s">
        <v>85</v>
      </c>
      <c r="E43" s="10" t="s">
        <v>102</v>
      </c>
      <c r="F43" s="10" t="n">
        <v>3593</v>
      </c>
      <c r="G43" s="10" t="n">
        <v>233</v>
      </c>
      <c r="H43" s="10" t="n">
        <v>24</v>
      </c>
      <c r="I43" s="10" t="n">
        <v>5160</v>
      </c>
      <c r="J43" s="10" t="n">
        <v>3096</v>
      </c>
      <c r="K43" s="10" t="n">
        <v>6</v>
      </c>
      <c r="L43" s="10" t="n">
        <v>10300</v>
      </c>
      <c r="M43" s="10" t="n">
        <f aca="false">I43-J43</f>
        <v>2064</v>
      </c>
      <c r="N43" s="10" t="n">
        <f aca="false">IFERROR(M43/I43,0)</f>
        <v>0.4</v>
      </c>
      <c r="O43" s="10" t="n">
        <f aca="false">IFERROR(H43/F43,0)</f>
        <v>0.00667965488449763</v>
      </c>
      <c r="P43" s="10" t="n">
        <f aca="false">IFERROR(K43/H43,0)</f>
        <v>0.25</v>
      </c>
      <c r="Q43" s="10" t="str">
        <f aca="false">IF(AND(N43&gt;=Assumptions!$B$2,O43&gt;=Assumptions!$B$3),"On Target","Review")</f>
        <v>Review</v>
      </c>
    </row>
    <row r="44" customFormat="false" ht="15" hidden="false" customHeight="true" outlineLevel="0" collapsed="false">
      <c r="A44" s="10" t="s">
        <v>142</v>
      </c>
      <c r="B44" s="10" t="s">
        <v>83</v>
      </c>
      <c r="C44" s="10" t="s">
        <v>100</v>
      </c>
      <c r="D44" s="10" t="s">
        <v>85</v>
      </c>
      <c r="E44" s="10" t="s">
        <v>112</v>
      </c>
      <c r="F44" s="10" t="n">
        <v>3766</v>
      </c>
      <c r="G44" s="10" t="n">
        <v>131</v>
      </c>
      <c r="H44" s="10" t="n">
        <v>15</v>
      </c>
      <c r="I44" s="10" t="n">
        <v>4200</v>
      </c>
      <c r="J44" s="10" t="n">
        <v>2142</v>
      </c>
      <c r="K44" s="10" t="n">
        <v>0</v>
      </c>
      <c r="L44" s="10" t="n">
        <v>12100</v>
      </c>
      <c r="M44" s="10" t="n">
        <f aca="false">I44-J44</f>
        <v>2058</v>
      </c>
      <c r="N44" s="10" t="n">
        <f aca="false">IFERROR(M44/I44,0)</f>
        <v>0.49</v>
      </c>
      <c r="O44" s="10" t="n">
        <f aca="false">IFERROR(H44/F44,0)</f>
        <v>0.0039830058417419</v>
      </c>
      <c r="P44" s="10" t="n">
        <f aca="false">IFERROR(K44/H44,0)</f>
        <v>0</v>
      </c>
      <c r="Q44" s="10" t="str">
        <f aca="false">IF(AND(N44&gt;=Assumptions!$B$2,O44&gt;=Assumptions!$B$3),"On Target","Review")</f>
        <v>Review</v>
      </c>
    </row>
    <row r="45" customFormat="false" ht="15" hidden="false" customHeight="true" outlineLevel="0" collapsed="false">
      <c r="A45" s="10" t="s">
        <v>143</v>
      </c>
      <c r="B45" s="10" t="s">
        <v>88</v>
      </c>
      <c r="C45" s="10" t="s">
        <v>100</v>
      </c>
      <c r="D45" s="10" t="s">
        <v>85</v>
      </c>
      <c r="E45" s="10" t="s">
        <v>112</v>
      </c>
      <c r="F45" s="10" t="n">
        <v>3939</v>
      </c>
      <c r="G45" s="10" t="n">
        <v>161</v>
      </c>
      <c r="H45" s="10" t="n">
        <v>21</v>
      </c>
      <c r="I45" s="10" t="n">
        <v>7245</v>
      </c>
      <c r="J45" s="10" t="n">
        <v>4020.98</v>
      </c>
      <c r="K45" s="10" t="n">
        <v>1</v>
      </c>
      <c r="L45" s="10" t="n">
        <v>13900</v>
      </c>
      <c r="M45" s="10" t="n">
        <f aca="false">I45-J45</f>
        <v>3224.02</v>
      </c>
      <c r="N45" s="10" t="n">
        <f aca="false">IFERROR(M45/I45,0)</f>
        <v>0.444999309868875</v>
      </c>
      <c r="O45" s="10" t="n">
        <f aca="false">IFERROR(H45/F45,0)</f>
        <v>0.00533130236100533</v>
      </c>
      <c r="P45" s="10" t="n">
        <f aca="false">IFERROR(K45/H45,0)</f>
        <v>0.0476190476190476</v>
      </c>
      <c r="Q45" s="10" t="str">
        <f aca="false">IF(AND(N45&gt;=Assumptions!$B$2,O45&gt;=Assumptions!$B$3),"On Target","Review")</f>
        <v>Review</v>
      </c>
    </row>
    <row r="46" customFormat="false" ht="15" hidden="false" customHeight="true" outlineLevel="0" collapsed="false">
      <c r="A46" s="10" t="s">
        <v>144</v>
      </c>
      <c r="B46" s="10" t="s">
        <v>90</v>
      </c>
      <c r="C46" s="10" t="s">
        <v>100</v>
      </c>
      <c r="D46" s="10" t="s">
        <v>85</v>
      </c>
      <c r="E46" s="10" t="s">
        <v>112</v>
      </c>
      <c r="F46" s="10" t="n">
        <v>4112</v>
      </c>
      <c r="G46" s="10" t="n">
        <v>193</v>
      </c>
      <c r="H46" s="10" t="n">
        <v>28</v>
      </c>
      <c r="I46" s="10" t="n">
        <v>4200</v>
      </c>
      <c r="J46" s="10" t="n">
        <v>2520</v>
      </c>
      <c r="K46" s="10" t="n">
        <v>2</v>
      </c>
      <c r="L46" s="10" t="n">
        <v>8500</v>
      </c>
      <c r="M46" s="10" t="n">
        <f aca="false">I46-J46</f>
        <v>1680</v>
      </c>
      <c r="N46" s="10" t="n">
        <f aca="false">IFERROR(M46/I46,0)</f>
        <v>0.4</v>
      </c>
      <c r="O46" s="10" t="n">
        <f aca="false">IFERROR(H46/F46,0)</f>
        <v>0.00680933852140078</v>
      </c>
      <c r="P46" s="10" t="n">
        <f aca="false">IFERROR(K46/H46,0)</f>
        <v>0.0714285714285714</v>
      </c>
      <c r="Q46" s="10" t="str">
        <f aca="false">IF(AND(N46&gt;=Assumptions!$B$2,O46&gt;=Assumptions!$B$3),"On Target","Review")</f>
        <v>Review</v>
      </c>
    </row>
    <row r="47" customFormat="false" ht="15" hidden="false" customHeight="true" outlineLevel="0" collapsed="false">
      <c r="A47" s="10" t="s">
        <v>145</v>
      </c>
      <c r="B47" s="10" t="s">
        <v>92</v>
      </c>
      <c r="C47" s="10" t="s">
        <v>105</v>
      </c>
      <c r="D47" s="10" t="s">
        <v>98</v>
      </c>
      <c r="E47" s="10" t="s">
        <v>112</v>
      </c>
      <c r="F47" s="10" t="n">
        <v>4285</v>
      </c>
      <c r="G47" s="10" t="n">
        <v>227</v>
      </c>
      <c r="H47" s="10" t="n">
        <v>20</v>
      </c>
      <c r="I47" s="10" t="n">
        <v>4300</v>
      </c>
      <c r="J47" s="10" t="n">
        <v>2193</v>
      </c>
      <c r="K47" s="10" t="n">
        <v>2</v>
      </c>
      <c r="L47" s="10" t="n">
        <v>10300</v>
      </c>
      <c r="M47" s="10" t="n">
        <f aca="false">I47-J47</f>
        <v>2107</v>
      </c>
      <c r="N47" s="10" t="n">
        <f aca="false">IFERROR(M47/I47,0)</f>
        <v>0.49</v>
      </c>
      <c r="O47" s="10" t="n">
        <f aca="false">IFERROR(H47/F47,0)</f>
        <v>0.00466744457409568</v>
      </c>
      <c r="P47" s="10" t="n">
        <f aca="false">IFERROR(K47/H47,0)</f>
        <v>0.1</v>
      </c>
      <c r="Q47" s="10" t="str">
        <f aca="false">IF(AND(N47&gt;=Assumptions!$B$2,O47&gt;=Assumptions!$B$3),"On Target","Review")</f>
        <v>Review</v>
      </c>
    </row>
    <row r="48" customFormat="false" ht="15" hidden="false" customHeight="true" outlineLevel="0" collapsed="false">
      <c r="A48" s="10" t="s">
        <v>146</v>
      </c>
      <c r="B48" s="10" t="s">
        <v>95</v>
      </c>
      <c r="C48" s="10" t="s">
        <v>105</v>
      </c>
      <c r="D48" s="10" t="s">
        <v>98</v>
      </c>
      <c r="E48" s="10" t="s">
        <v>112</v>
      </c>
      <c r="F48" s="10" t="n">
        <v>4458</v>
      </c>
      <c r="G48" s="10" t="n">
        <v>263</v>
      </c>
      <c r="H48" s="10" t="n">
        <v>27</v>
      </c>
      <c r="I48" s="10" t="n">
        <v>7560</v>
      </c>
      <c r="J48" s="10" t="n">
        <v>4195.8</v>
      </c>
      <c r="K48" s="10" t="n">
        <v>8</v>
      </c>
      <c r="L48" s="10" t="n">
        <v>12100</v>
      </c>
      <c r="M48" s="10" t="n">
        <f aca="false">I48-J48</f>
        <v>3364.2</v>
      </c>
      <c r="N48" s="10" t="n">
        <f aca="false">IFERROR(M48/I48,0)</f>
        <v>0.445</v>
      </c>
      <c r="O48" s="10" t="n">
        <f aca="false">IFERROR(H48/F48,0)</f>
        <v>0.00605652759084791</v>
      </c>
      <c r="P48" s="10" t="n">
        <f aca="false">IFERROR(K48/H48,0)</f>
        <v>0.296296296296296</v>
      </c>
      <c r="Q48" s="10" t="str">
        <f aca="false">IF(AND(N48&gt;=Assumptions!$B$2,O48&gt;=Assumptions!$B$3),"On Target","Review")</f>
        <v>Review</v>
      </c>
    </row>
    <row r="49" customFormat="false" ht="15" hidden="false" customHeight="true" outlineLevel="0" collapsed="false">
      <c r="A49" s="10" t="s">
        <v>147</v>
      </c>
      <c r="B49" s="10" t="s">
        <v>97</v>
      </c>
      <c r="C49" s="10" t="s">
        <v>105</v>
      </c>
      <c r="D49" s="10" t="s">
        <v>98</v>
      </c>
      <c r="E49" s="10" t="s">
        <v>112</v>
      </c>
      <c r="F49" s="10" t="n">
        <v>4631</v>
      </c>
      <c r="G49" s="10" t="n">
        <v>301</v>
      </c>
      <c r="H49" s="10" t="n">
        <v>36</v>
      </c>
      <c r="I49" s="10" t="n">
        <v>12420</v>
      </c>
      <c r="J49" s="10" t="n">
        <v>7452</v>
      </c>
      <c r="K49" s="10" t="n">
        <v>11</v>
      </c>
      <c r="L49" s="10" t="n">
        <v>13900</v>
      </c>
      <c r="M49" s="10" t="n">
        <f aca="false">I49-J49</f>
        <v>4968</v>
      </c>
      <c r="N49" s="10" t="n">
        <f aca="false">IFERROR(M49/I49,0)</f>
        <v>0.4</v>
      </c>
      <c r="O49" s="10" t="n">
        <f aca="false">IFERROR(H49/F49,0)</f>
        <v>0.00777369898510041</v>
      </c>
      <c r="P49" s="10" t="n">
        <f aca="false">IFERROR(K49/H49,0)</f>
        <v>0.305555555555556</v>
      </c>
      <c r="Q49" s="10" t="str">
        <f aca="false">IF(AND(N49&gt;=Assumptions!$B$2,O49&gt;=Assumptions!$B$3),"On Target","Review")</f>
        <v>Review</v>
      </c>
    </row>
    <row r="50" customFormat="false" ht="15" hidden="false" customHeight="true" outlineLevel="0" collapsed="false">
      <c r="A50" s="10" t="s">
        <v>148</v>
      </c>
      <c r="B50" s="10" t="s">
        <v>83</v>
      </c>
      <c r="C50" s="10" t="s">
        <v>84</v>
      </c>
      <c r="D50" s="10" t="s">
        <v>98</v>
      </c>
      <c r="E50" s="10" t="s">
        <v>112</v>
      </c>
      <c r="F50" s="10" t="n">
        <v>4804</v>
      </c>
      <c r="G50" s="10" t="n">
        <v>168</v>
      </c>
      <c r="H50" s="10" t="n">
        <v>22</v>
      </c>
      <c r="I50" s="10" t="n">
        <v>3300</v>
      </c>
      <c r="J50" s="10" t="n">
        <v>1683</v>
      </c>
      <c r="K50" s="10" t="n">
        <v>0</v>
      </c>
      <c r="L50" s="10" t="n">
        <v>8500</v>
      </c>
      <c r="M50" s="10" t="n">
        <f aca="false">I50-J50</f>
        <v>1617</v>
      </c>
      <c r="N50" s="10" t="n">
        <f aca="false">IFERROR(M50/I50,0)</f>
        <v>0.49</v>
      </c>
      <c r="O50" s="10" t="n">
        <f aca="false">IFERROR(H50/F50,0)</f>
        <v>0.00457951706910908</v>
      </c>
      <c r="P50" s="10" t="n">
        <f aca="false">IFERROR(K50/H50,0)</f>
        <v>0</v>
      </c>
      <c r="Q50" s="10" t="str">
        <f aca="false">IF(AND(N50&gt;=Assumptions!$B$2,O50&gt;=Assumptions!$B$3),"On Target","Review")</f>
        <v>Review</v>
      </c>
    </row>
    <row r="51" customFormat="false" ht="15" hidden="false" customHeight="true" outlineLevel="0" collapsed="false">
      <c r="A51" s="10" t="s">
        <v>149</v>
      </c>
      <c r="B51" s="10" t="s">
        <v>88</v>
      </c>
      <c r="C51" s="10" t="s">
        <v>84</v>
      </c>
      <c r="D51" s="10" t="s">
        <v>98</v>
      </c>
      <c r="E51" s="10" t="s">
        <v>121</v>
      </c>
      <c r="F51" s="10" t="n">
        <v>4977</v>
      </c>
      <c r="G51" s="10" t="n">
        <v>204</v>
      </c>
      <c r="H51" s="10" t="n">
        <v>30</v>
      </c>
      <c r="I51" s="10" t="n">
        <v>6450</v>
      </c>
      <c r="J51" s="10" t="n">
        <v>3579.75</v>
      </c>
      <c r="K51" s="10" t="n">
        <v>4</v>
      </c>
      <c r="L51" s="10" t="n">
        <v>10300</v>
      </c>
      <c r="M51" s="10" t="n">
        <f aca="false">I51-J51</f>
        <v>2870.25</v>
      </c>
      <c r="N51" s="10" t="n">
        <f aca="false">IFERROR(M51/I51,0)</f>
        <v>0.445</v>
      </c>
      <c r="O51" s="10" t="n">
        <f aca="false">IFERROR(H51/F51,0)</f>
        <v>0.00602772754671489</v>
      </c>
      <c r="P51" s="10" t="n">
        <f aca="false">IFERROR(K51/H51,0)</f>
        <v>0.133333333333333</v>
      </c>
      <c r="Q51" s="10" t="str">
        <f aca="false">IF(AND(N51&gt;=Assumptions!$B$2,O51&gt;=Assumptions!$B$3),"On Target","Review")</f>
        <v>Review</v>
      </c>
    </row>
    <row r="52" customFormat="false" ht="15" hidden="false" customHeight="true" outlineLevel="0" collapsed="false">
      <c r="A52" s="10" t="s">
        <v>150</v>
      </c>
      <c r="B52" s="10" t="s">
        <v>90</v>
      </c>
      <c r="C52" s="10" t="s">
        <v>84</v>
      </c>
      <c r="D52" s="10" t="s">
        <v>107</v>
      </c>
      <c r="E52" s="10" t="s">
        <v>121</v>
      </c>
      <c r="F52" s="10" t="n">
        <v>5150</v>
      </c>
      <c r="G52" s="10" t="n">
        <v>242</v>
      </c>
      <c r="H52" s="10" t="n">
        <v>21</v>
      </c>
      <c r="I52" s="10" t="n">
        <v>5880</v>
      </c>
      <c r="J52" s="10" t="n">
        <v>3528</v>
      </c>
      <c r="K52" s="10" t="n">
        <v>6</v>
      </c>
      <c r="L52" s="10" t="n">
        <v>12100</v>
      </c>
      <c r="M52" s="10" t="n">
        <f aca="false">I52-J52</f>
        <v>2352</v>
      </c>
      <c r="N52" s="10" t="n">
        <f aca="false">IFERROR(M52/I52,0)</f>
        <v>0.4</v>
      </c>
      <c r="O52" s="10" t="n">
        <f aca="false">IFERROR(H52/F52,0)</f>
        <v>0.00407766990291262</v>
      </c>
      <c r="P52" s="10" t="n">
        <f aca="false">IFERROR(K52/H52,0)</f>
        <v>0.285714285714286</v>
      </c>
      <c r="Q52" s="10" t="str">
        <f aca="false">IF(AND(N52&gt;=Assumptions!$B$2,O52&gt;=Assumptions!$B$3),"On Target","Review")</f>
        <v>Review</v>
      </c>
    </row>
    <row r="53" customFormat="false" ht="15" hidden="false" customHeight="true" outlineLevel="0" collapsed="false">
      <c r="A53" s="10" t="s">
        <v>151</v>
      </c>
      <c r="B53" s="10" t="s">
        <v>92</v>
      </c>
      <c r="C53" s="10" t="s">
        <v>93</v>
      </c>
      <c r="D53" s="10" t="s">
        <v>107</v>
      </c>
      <c r="E53" s="10" t="s">
        <v>121</v>
      </c>
      <c r="F53" s="10" t="n">
        <v>5323</v>
      </c>
      <c r="G53" s="10" t="n">
        <v>282</v>
      </c>
      <c r="H53" s="10" t="n">
        <v>29</v>
      </c>
      <c r="I53" s="10" t="n">
        <v>10005</v>
      </c>
      <c r="J53" s="10" t="n">
        <v>5102.55</v>
      </c>
      <c r="K53" s="10" t="n">
        <v>3</v>
      </c>
      <c r="L53" s="10" t="n">
        <v>13900</v>
      </c>
      <c r="M53" s="10" t="n">
        <f aca="false">I53-J53</f>
        <v>4902.45</v>
      </c>
      <c r="N53" s="10" t="n">
        <f aca="false">IFERROR(M53/I53,0)</f>
        <v>0.49</v>
      </c>
      <c r="O53" s="10" t="n">
        <f aca="false">IFERROR(H53/F53,0)</f>
        <v>0.00544805560774</v>
      </c>
      <c r="P53" s="10" t="n">
        <f aca="false">IFERROR(K53/H53,0)</f>
        <v>0.103448275862069</v>
      </c>
      <c r="Q53" s="10" t="str">
        <f aca="false">IF(AND(N53&gt;=Assumptions!$B$2,O53&gt;=Assumptions!$B$3),"On Target","Review")</f>
        <v>Review</v>
      </c>
    </row>
    <row r="54" customFormat="false" ht="15" hidden="false" customHeight="true" outlineLevel="0" collapsed="false">
      <c r="A54" s="10" t="s">
        <v>152</v>
      </c>
      <c r="B54" s="10" t="s">
        <v>95</v>
      </c>
      <c r="C54" s="10" t="s">
        <v>93</v>
      </c>
      <c r="D54" s="10" t="s">
        <v>107</v>
      </c>
      <c r="E54" s="10" t="s">
        <v>121</v>
      </c>
      <c r="F54" s="10" t="n">
        <v>5496</v>
      </c>
      <c r="G54" s="10" t="n">
        <v>324</v>
      </c>
      <c r="H54" s="10" t="n">
        <v>38</v>
      </c>
      <c r="I54" s="10" t="n">
        <v>5700</v>
      </c>
      <c r="J54" s="10" t="n">
        <v>3163.5</v>
      </c>
      <c r="K54" s="10" t="n">
        <v>0</v>
      </c>
      <c r="L54" s="10" t="n">
        <v>8500</v>
      </c>
      <c r="M54" s="10" t="n">
        <f aca="false">I54-J54</f>
        <v>2536.5</v>
      </c>
      <c r="N54" s="10" t="n">
        <f aca="false">IFERROR(M54/I54,0)</f>
        <v>0.445</v>
      </c>
      <c r="O54" s="10" t="n">
        <f aca="false">IFERROR(H54/F54,0)</f>
        <v>0.00691411935953421</v>
      </c>
      <c r="P54" s="10" t="n">
        <f aca="false">IFERROR(K54/H54,0)</f>
        <v>0</v>
      </c>
      <c r="Q54" s="10" t="str">
        <f aca="false">IF(AND(N54&gt;=Assumptions!$B$2,O54&gt;=Assumptions!$B$3),"On Target","Review")</f>
        <v>Review</v>
      </c>
    </row>
    <row r="55" customFormat="false" ht="15" hidden="false" customHeight="true" outlineLevel="0" collapsed="false">
      <c r="A55" s="10" t="s">
        <v>153</v>
      </c>
      <c r="B55" s="10" t="s">
        <v>97</v>
      </c>
      <c r="C55" s="10" t="s">
        <v>93</v>
      </c>
      <c r="D55" s="10" t="s">
        <v>107</v>
      </c>
      <c r="E55" s="10" t="s">
        <v>121</v>
      </c>
      <c r="F55" s="10" t="n">
        <v>5669</v>
      </c>
      <c r="G55" s="10" t="n">
        <v>368</v>
      </c>
      <c r="H55" s="10" t="n">
        <v>49</v>
      </c>
      <c r="I55" s="10" t="n">
        <v>10535</v>
      </c>
      <c r="J55" s="10" t="n">
        <v>6321</v>
      </c>
      <c r="K55" s="10" t="n">
        <v>6</v>
      </c>
      <c r="L55" s="10" t="n">
        <v>10300</v>
      </c>
      <c r="M55" s="10" t="n">
        <f aca="false">I55-J55</f>
        <v>4214</v>
      </c>
      <c r="N55" s="10" t="n">
        <f aca="false">IFERROR(M55/I55,0)</f>
        <v>0.4</v>
      </c>
      <c r="O55" s="10" t="n">
        <f aca="false">IFERROR(H55/F55,0)</f>
        <v>0.00864349973540307</v>
      </c>
      <c r="P55" s="10" t="n">
        <f aca="false">IFERROR(K55/H55,0)</f>
        <v>0.122448979591837</v>
      </c>
      <c r="Q55" s="10" t="str">
        <f aca="false">IF(AND(N55&gt;=Assumptions!$B$2,O55&gt;=Assumptions!$B$3),"On Target","Review")</f>
        <v>Review</v>
      </c>
    </row>
    <row r="56" customFormat="false" ht="15" hidden="false" customHeight="true" outlineLevel="0" collapsed="false">
      <c r="A56" s="10" t="s">
        <v>154</v>
      </c>
      <c r="B56" s="10" t="s">
        <v>83</v>
      </c>
      <c r="C56" s="10" t="s">
        <v>100</v>
      </c>
      <c r="D56" s="10" t="s">
        <v>107</v>
      </c>
      <c r="E56" s="10" t="s">
        <v>121</v>
      </c>
      <c r="F56" s="10" t="n">
        <v>5842</v>
      </c>
      <c r="G56" s="10" t="n">
        <v>204</v>
      </c>
      <c r="H56" s="10" t="n">
        <v>30</v>
      </c>
      <c r="I56" s="10" t="n">
        <v>8400</v>
      </c>
      <c r="J56" s="10" t="n">
        <v>4284</v>
      </c>
      <c r="K56" s="10" t="n">
        <v>8</v>
      </c>
      <c r="L56" s="10" t="n">
        <v>12100</v>
      </c>
      <c r="M56" s="10" t="n">
        <f aca="false">I56-J56</f>
        <v>4116</v>
      </c>
      <c r="N56" s="10" t="n">
        <f aca="false">IFERROR(M56/I56,0)</f>
        <v>0.49</v>
      </c>
      <c r="O56" s="10" t="n">
        <f aca="false">IFERROR(H56/F56,0)</f>
        <v>0.00513522766175967</v>
      </c>
      <c r="P56" s="10" t="n">
        <f aca="false">IFERROR(K56/H56,0)</f>
        <v>0.266666666666667</v>
      </c>
      <c r="Q56" s="10" t="str">
        <f aca="false">IF(AND(N56&gt;=Assumptions!$B$2,O56&gt;=Assumptions!$B$3),"On Target","Review")</f>
        <v>Review</v>
      </c>
    </row>
    <row r="57" customFormat="false" ht="15" hidden="false" customHeight="true" outlineLevel="0" collapsed="false">
      <c r="A57" s="10" t="s">
        <v>155</v>
      </c>
      <c r="B57" s="10" t="s">
        <v>88</v>
      </c>
      <c r="C57" s="10" t="s">
        <v>100</v>
      </c>
      <c r="D57" s="10" t="s">
        <v>114</v>
      </c>
      <c r="E57" s="10" t="s">
        <v>121</v>
      </c>
      <c r="F57" s="10" t="n">
        <v>6015</v>
      </c>
      <c r="G57" s="10" t="n">
        <v>246</v>
      </c>
      <c r="H57" s="10" t="n">
        <v>22</v>
      </c>
      <c r="I57" s="10" t="n">
        <v>7590</v>
      </c>
      <c r="J57" s="10" t="n">
        <v>4212.45</v>
      </c>
      <c r="K57" s="10" t="n">
        <v>5</v>
      </c>
      <c r="L57" s="10" t="n">
        <v>13900</v>
      </c>
      <c r="M57" s="10" t="n">
        <f aca="false">I57-J57</f>
        <v>3377.55</v>
      </c>
      <c r="N57" s="10" t="n">
        <f aca="false">IFERROR(M57/I57,0)</f>
        <v>0.445</v>
      </c>
      <c r="O57" s="10" t="n">
        <f aca="false">IFERROR(H57/F57,0)</f>
        <v>0.00365752285951787</v>
      </c>
      <c r="P57" s="10" t="n">
        <f aca="false">IFERROR(K57/H57,0)</f>
        <v>0.227272727272727</v>
      </c>
      <c r="Q57" s="10" t="str">
        <f aca="false">IF(AND(N57&gt;=Assumptions!$B$2,O57&gt;=Assumptions!$B$3),"On Target","Review")</f>
        <v>Review</v>
      </c>
    </row>
    <row r="58" customFormat="false" ht="15" hidden="false" customHeight="true" outlineLevel="0" collapsed="false">
      <c r="A58" s="10" t="s">
        <v>156</v>
      </c>
      <c r="B58" s="10" t="s">
        <v>90</v>
      </c>
      <c r="C58" s="10" t="s">
        <v>100</v>
      </c>
      <c r="D58" s="10" t="s">
        <v>114</v>
      </c>
      <c r="E58" s="10" t="s">
        <v>86</v>
      </c>
      <c r="F58" s="10" t="n">
        <v>6188</v>
      </c>
      <c r="G58" s="10" t="n">
        <v>290</v>
      </c>
      <c r="H58" s="10" t="n">
        <v>30</v>
      </c>
      <c r="I58" s="10" t="n">
        <v>4500</v>
      </c>
      <c r="J58" s="10" t="n">
        <v>2700</v>
      </c>
      <c r="K58" s="10" t="n">
        <v>3</v>
      </c>
      <c r="L58" s="10" t="n">
        <v>8500</v>
      </c>
      <c r="M58" s="10" t="n">
        <f aca="false">I58-J58</f>
        <v>1800</v>
      </c>
      <c r="N58" s="10" t="n">
        <f aca="false">IFERROR(M58/I58,0)</f>
        <v>0.4</v>
      </c>
      <c r="O58" s="10" t="n">
        <f aca="false">IFERROR(H58/F58,0)</f>
        <v>0.0048480930833872</v>
      </c>
      <c r="P58" s="10" t="n">
        <f aca="false">IFERROR(K58/H58,0)</f>
        <v>0.1</v>
      </c>
      <c r="Q58" s="10" t="str">
        <f aca="false">IF(AND(N58&gt;=Assumptions!$B$2,O58&gt;=Assumptions!$B$3),"On Target","Review")</f>
        <v>Review</v>
      </c>
    </row>
    <row r="59" customFormat="false" ht="15" hidden="false" customHeight="true" outlineLevel="0" collapsed="false">
      <c r="A59" s="10" t="s">
        <v>157</v>
      </c>
      <c r="B59" s="10" t="s">
        <v>92</v>
      </c>
      <c r="C59" s="10" t="s">
        <v>105</v>
      </c>
      <c r="D59" s="10" t="s">
        <v>114</v>
      </c>
      <c r="E59" s="10" t="s">
        <v>86</v>
      </c>
      <c r="F59" s="10" t="n">
        <v>6361</v>
      </c>
      <c r="G59" s="10" t="n">
        <v>337</v>
      </c>
      <c r="H59" s="10" t="n">
        <v>40</v>
      </c>
      <c r="I59" s="10" t="n">
        <v>8600</v>
      </c>
      <c r="J59" s="10" t="n">
        <v>4386</v>
      </c>
      <c r="K59" s="10" t="n">
        <v>3</v>
      </c>
      <c r="L59" s="10" t="n">
        <v>10300</v>
      </c>
      <c r="M59" s="10" t="n">
        <f aca="false">I59-J59</f>
        <v>4214</v>
      </c>
      <c r="N59" s="10" t="n">
        <f aca="false">IFERROR(M59/I59,0)</f>
        <v>0.49</v>
      </c>
      <c r="O59" s="10" t="n">
        <f aca="false">IFERROR(H59/F59,0)</f>
        <v>0.00628831944662789</v>
      </c>
      <c r="P59" s="10" t="n">
        <f aca="false">IFERROR(K59/H59,0)</f>
        <v>0.075</v>
      </c>
      <c r="Q59" s="10" t="str">
        <f aca="false">IF(AND(N59&gt;=Assumptions!$B$2,O59&gt;=Assumptions!$B$3),"On Target","Review")</f>
        <v>Review</v>
      </c>
    </row>
    <row r="60" customFormat="false" ht="15" hidden="false" customHeight="true" outlineLevel="0" collapsed="false">
      <c r="A60" s="10" t="s">
        <v>158</v>
      </c>
      <c r="B60" s="10" t="s">
        <v>95</v>
      </c>
      <c r="C60" s="10" t="s">
        <v>105</v>
      </c>
      <c r="D60" s="10" t="s">
        <v>114</v>
      </c>
      <c r="E60" s="10" t="s">
        <v>86</v>
      </c>
      <c r="F60" s="10" t="n">
        <v>6534</v>
      </c>
      <c r="G60" s="10" t="n">
        <v>385</v>
      </c>
      <c r="H60" s="10" t="n">
        <v>51</v>
      </c>
      <c r="I60" s="10" t="n">
        <v>14280</v>
      </c>
      <c r="J60" s="10" t="n">
        <v>7925.4</v>
      </c>
      <c r="K60" s="10" t="n">
        <v>12</v>
      </c>
      <c r="L60" s="10" t="n">
        <v>12100</v>
      </c>
      <c r="M60" s="10" t="n">
        <f aca="false">I60-J60</f>
        <v>6354.6</v>
      </c>
      <c r="N60" s="10" t="n">
        <f aca="false">IFERROR(M60/I60,0)</f>
        <v>0.445</v>
      </c>
      <c r="O60" s="10" t="n">
        <f aca="false">IFERROR(H60/F60,0)</f>
        <v>0.00780532598714417</v>
      </c>
      <c r="P60" s="10" t="n">
        <f aca="false">IFERROR(K60/H60,0)</f>
        <v>0.235294117647059</v>
      </c>
      <c r="Q60" s="10" t="str">
        <f aca="false">IF(AND(N60&gt;=Assumptions!$B$2,O60&gt;=Assumptions!$B$3),"On Target","Review")</f>
        <v>Review</v>
      </c>
    </row>
    <row r="61" customFormat="false" ht="15" hidden="false" customHeight="true" outlineLevel="0" collapsed="false">
      <c r="A61" s="10" t="s">
        <v>159</v>
      </c>
      <c r="B61" s="10" t="s">
        <v>97</v>
      </c>
      <c r="C61" s="10" t="s">
        <v>105</v>
      </c>
      <c r="D61" s="10" t="s">
        <v>114</v>
      </c>
      <c r="E61" s="10" t="s">
        <v>86</v>
      </c>
      <c r="F61" s="10" t="n">
        <v>6707</v>
      </c>
      <c r="G61" s="10" t="n">
        <v>435</v>
      </c>
      <c r="H61" s="10" t="n">
        <v>65</v>
      </c>
      <c r="I61" s="10" t="n">
        <v>22425</v>
      </c>
      <c r="J61" s="10" t="n">
        <v>13455</v>
      </c>
      <c r="K61" s="10" t="n">
        <v>1</v>
      </c>
      <c r="L61" s="10" t="n">
        <v>13900</v>
      </c>
      <c r="M61" s="10" t="n">
        <f aca="false">I61-J61</f>
        <v>8970</v>
      </c>
      <c r="N61" s="10" t="n">
        <f aca="false">IFERROR(M61/I61,0)</f>
        <v>0.4</v>
      </c>
      <c r="O61" s="10" t="n">
        <f aca="false">IFERROR(H61/F61,0)</f>
        <v>0.00969136722826897</v>
      </c>
      <c r="P61" s="10" t="n">
        <f aca="false">IFERROR(K61/H61,0)</f>
        <v>0.0153846153846154</v>
      </c>
      <c r="Q61" s="10" t="str">
        <f aca="false">IF(AND(N61&gt;=Assumptions!$B$2,O61&gt;=Assumptions!$B$3),"On Target","Review")</f>
        <v>Review</v>
      </c>
    </row>
    <row r="62" customFormat="false" ht="15" hidden="false" customHeight="true" outlineLevel="0" collapsed="false">
      <c r="A62" s="10" t="s">
        <v>160</v>
      </c>
      <c r="B62" s="10" t="s">
        <v>83</v>
      </c>
      <c r="C62" s="10" t="s">
        <v>84</v>
      </c>
      <c r="D62" s="10" t="s">
        <v>85</v>
      </c>
      <c r="E62" s="10" t="s">
        <v>86</v>
      </c>
      <c r="F62" s="10" t="n">
        <v>6880</v>
      </c>
      <c r="G62" s="10" t="n">
        <v>240</v>
      </c>
      <c r="H62" s="10" t="n">
        <v>21</v>
      </c>
      <c r="I62" s="10" t="n">
        <v>3150</v>
      </c>
      <c r="J62" s="10" t="n">
        <v>1606.5</v>
      </c>
      <c r="K62" s="10" t="n">
        <v>4</v>
      </c>
      <c r="L62" s="10" t="n">
        <v>8500</v>
      </c>
      <c r="M62" s="10" t="n">
        <f aca="false">I62-J62</f>
        <v>1543.5</v>
      </c>
      <c r="N62" s="10" t="n">
        <f aca="false">IFERROR(M62/I62,0)</f>
        <v>0.49</v>
      </c>
      <c r="O62" s="10" t="n">
        <f aca="false">IFERROR(H62/F62,0)</f>
        <v>0.00305232558139535</v>
      </c>
      <c r="P62" s="10" t="n">
        <f aca="false">IFERROR(K62/H62,0)</f>
        <v>0.19047619047619</v>
      </c>
      <c r="Q62" s="10" t="str">
        <f aca="false">IF(AND(N62&gt;=Assumptions!$B$2,O62&gt;=Assumptions!$B$3),"On Target","Review")</f>
        <v>Review</v>
      </c>
    </row>
    <row r="63" customFormat="false" ht="15" hidden="false" customHeight="true" outlineLevel="0" collapsed="false">
      <c r="A63" s="10" t="s">
        <v>161</v>
      </c>
      <c r="B63" s="10" t="s">
        <v>88</v>
      </c>
      <c r="C63" s="10" t="s">
        <v>84</v>
      </c>
      <c r="D63" s="10" t="s">
        <v>85</v>
      </c>
      <c r="E63" s="10" t="s">
        <v>86</v>
      </c>
      <c r="F63" s="10" t="n">
        <v>7053</v>
      </c>
      <c r="G63" s="10" t="n">
        <v>289</v>
      </c>
      <c r="H63" s="10" t="n">
        <v>30</v>
      </c>
      <c r="I63" s="10" t="n">
        <v>6450</v>
      </c>
      <c r="J63" s="10" t="n">
        <v>3579.75</v>
      </c>
      <c r="K63" s="10" t="n">
        <v>7</v>
      </c>
      <c r="L63" s="10" t="n">
        <v>10300</v>
      </c>
      <c r="M63" s="10" t="n">
        <f aca="false">I63-J63</f>
        <v>2870.25</v>
      </c>
      <c r="N63" s="10" t="n">
        <f aca="false">IFERROR(M63/I63,0)</f>
        <v>0.445</v>
      </c>
      <c r="O63" s="10" t="n">
        <f aca="false">IFERROR(H63/F63,0)</f>
        <v>0.00425350914504466</v>
      </c>
      <c r="P63" s="10" t="n">
        <f aca="false">IFERROR(K63/H63,0)</f>
        <v>0.233333333333333</v>
      </c>
      <c r="Q63" s="10" t="str">
        <f aca="false">IF(AND(N63&gt;=Assumptions!$B$2,O63&gt;=Assumptions!$B$3),"On Target","Review")</f>
        <v>Review</v>
      </c>
    </row>
    <row r="64" customFormat="false" ht="15" hidden="false" customHeight="true" outlineLevel="0" collapsed="false">
      <c r="A64" s="10" t="s">
        <v>162</v>
      </c>
      <c r="B64" s="10" t="s">
        <v>90</v>
      </c>
      <c r="C64" s="10" t="s">
        <v>84</v>
      </c>
      <c r="D64" s="10" t="s">
        <v>85</v>
      </c>
      <c r="E64" s="10" t="s">
        <v>86</v>
      </c>
      <c r="F64" s="10" t="n">
        <v>7226</v>
      </c>
      <c r="G64" s="10" t="n">
        <v>339</v>
      </c>
      <c r="H64" s="10" t="n">
        <v>40</v>
      </c>
      <c r="I64" s="10" t="n">
        <v>11200</v>
      </c>
      <c r="J64" s="10" t="n">
        <v>6720</v>
      </c>
      <c r="K64" s="10" t="n">
        <v>4</v>
      </c>
      <c r="L64" s="10" t="n">
        <v>12100</v>
      </c>
      <c r="M64" s="10" t="n">
        <f aca="false">I64-J64</f>
        <v>4480</v>
      </c>
      <c r="N64" s="10" t="n">
        <f aca="false">IFERROR(M64/I64,0)</f>
        <v>0.4</v>
      </c>
      <c r="O64" s="10" t="n">
        <f aca="false">IFERROR(H64/F64,0)</f>
        <v>0.00553556601162469</v>
      </c>
      <c r="P64" s="10" t="n">
        <f aca="false">IFERROR(K64/H64,0)</f>
        <v>0.1</v>
      </c>
      <c r="Q64" s="10" t="str">
        <f aca="false">IF(AND(N64&gt;=Assumptions!$B$2,O64&gt;=Assumptions!$B$3),"On Target","Review")</f>
        <v>Review</v>
      </c>
    </row>
    <row r="65" customFormat="false" ht="15" hidden="false" customHeight="true" outlineLevel="0" collapsed="false">
      <c r="A65" s="10" t="s">
        <v>163</v>
      </c>
      <c r="B65" s="10" t="s">
        <v>92</v>
      </c>
      <c r="C65" s="10" t="s">
        <v>93</v>
      </c>
      <c r="D65" s="10" t="s">
        <v>85</v>
      </c>
      <c r="E65" s="10" t="s">
        <v>102</v>
      </c>
      <c r="F65" s="10" t="n">
        <v>7399</v>
      </c>
      <c r="G65" s="10" t="n">
        <v>392</v>
      </c>
      <c r="H65" s="10" t="n">
        <v>52</v>
      </c>
      <c r="I65" s="10" t="n">
        <v>17940</v>
      </c>
      <c r="J65" s="10" t="n">
        <v>9149.4</v>
      </c>
      <c r="K65" s="10" t="n">
        <v>9</v>
      </c>
      <c r="L65" s="10" t="n">
        <v>13900</v>
      </c>
      <c r="M65" s="10" t="n">
        <f aca="false">I65-J65</f>
        <v>8790.6</v>
      </c>
      <c r="N65" s="10" t="n">
        <f aca="false">IFERROR(M65/I65,0)</f>
        <v>0.49</v>
      </c>
      <c r="O65" s="10" t="n">
        <f aca="false">IFERROR(H65/F65,0)</f>
        <v>0.00702797675361535</v>
      </c>
      <c r="P65" s="10" t="n">
        <f aca="false">IFERROR(K65/H65,0)</f>
        <v>0.173076923076923</v>
      </c>
      <c r="Q65" s="10" t="str">
        <f aca="false">IF(AND(N65&gt;=Assumptions!$B$2,O65&gt;=Assumptions!$B$3),"On Target","Review")</f>
        <v>Review</v>
      </c>
    </row>
    <row r="66" customFormat="false" ht="15" hidden="false" customHeight="true" outlineLevel="0" collapsed="false">
      <c r="A66" s="10" t="s">
        <v>164</v>
      </c>
      <c r="B66" s="10" t="s">
        <v>95</v>
      </c>
      <c r="C66" s="10" t="s">
        <v>93</v>
      </c>
      <c r="D66" s="10" t="s">
        <v>85</v>
      </c>
      <c r="E66" s="10" t="s">
        <v>102</v>
      </c>
      <c r="F66" s="10" t="n">
        <v>7572</v>
      </c>
      <c r="G66" s="10" t="n">
        <v>446</v>
      </c>
      <c r="H66" s="10" t="n">
        <v>66</v>
      </c>
      <c r="I66" s="10" t="n">
        <v>9900</v>
      </c>
      <c r="J66" s="10" t="n">
        <v>5494.5</v>
      </c>
      <c r="K66" s="10" t="n">
        <v>8</v>
      </c>
      <c r="L66" s="10" t="n">
        <v>8500</v>
      </c>
      <c r="M66" s="10" t="n">
        <f aca="false">I66-J66</f>
        <v>4405.5</v>
      </c>
      <c r="N66" s="10" t="n">
        <f aca="false">IFERROR(M66/I66,0)</f>
        <v>0.445</v>
      </c>
      <c r="O66" s="10" t="n">
        <f aca="false">IFERROR(H66/F66,0)</f>
        <v>0.00871632329635499</v>
      </c>
      <c r="P66" s="10" t="n">
        <f aca="false">IFERROR(K66/H66,0)</f>
        <v>0.121212121212121</v>
      </c>
      <c r="Q66" s="10" t="str">
        <f aca="false">IF(AND(N66&gt;=Assumptions!$B$2,O66&gt;=Assumptions!$B$3),"On Target","Review")</f>
        <v>Review</v>
      </c>
    </row>
    <row r="67" customFormat="false" ht="15" hidden="false" customHeight="true" outlineLevel="0" collapsed="false">
      <c r="A67" s="10" t="s">
        <v>165</v>
      </c>
      <c r="B67" s="10" t="s">
        <v>97</v>
      </c>
      <c r="C67" s="10" t="s">
        <v>93</v>
      </c>
      <c r="D67" s="10" t="s">
        <v>98</v>
      </c>
      <c r="E67" s="10" t="s">
        <v>102</v>
      </c>
      <c r="F67" s="10" t="n">
        <v>7745</v>
      </c>
      <c r="G67" s="10" t="n">
        <v>503</v>
      </c>
      <c r="H67" s="10" t="n">
        <v>45</v>
      </c>
      <c r="I67" s="10" t="n">
        <v>9675</v>
      </c>
      <c r="J67" s="10" t="n">
        <v>5805</v>
      </c>
      <c r="K67" s="10" t="n">
        <v>3</v>
      </c>
      <c r="L67" s="10" t="n">
        <v>10300</v>
      </c>
      <c r="M67" s="10" t="n">
        <f aca="false">I67-J67</f>
        <v>3870</v>
      </c>
      <c r="N67" s="10" t="n">
        <f aca="false">IFERROR(M67/I67,0)</f>
        <v>0.4</v>
      </c>
      <c r="O67" s="10" t="n">
        <f aca="false">IFERROR(H67/F67,0)</f>
        <v>0.00581020012911556</v>
      </c>
      <c r="P67" s="10" t="n">
        <f aca="false">IFERROR(K67/H67,0)</f>
        <v>0.0666666666666667</v>
      </c>
      <c r="Q67" s="10" t="str">
        <f aca="false">IF(AND(N67&gt;=Assumptions!$B$2,O67&gt;=Assumptions!$B$3),"On Target","Review")</f>
        <v>Review</v>
      </c>
    </row>
    <row r="68" customFormat="false" ht="15" hidden="false" customHeight="true" outlineLevel="0" collapsed="false">
      <c r="A68" s="10" t="s">
        <v>166</v>
      </c>
      <c r="B68" s="10" t="s">
        <v>83</v>
      </c>
      <c r="C68" s="10" t="s">
        <v>100</v>
      </c>
      <c r="D68" s="10" t="s">
        <v>98</v>
      </c>
      <c r="E68" s="10" t="s">
        <v>102</v>
      </c>
      <c r="F68" s="10" t="n">
        <v>7918</v>
      </c>
      <c r="G68" s="10" t="n">
        <v>277</v>
      </c>
      <c r="H68" s="10" t="n">
        <v>29</v>
      </c>
      <c r="I68" s="10" t="n">
        <v>8120</v>
      </c>
      <c r="J68" s="10" t="n">
        <v>4141.2</v>
      </c>
      <c r="K68" s="10" t="n">
        <v>8</v>
      </c>
      <c r="L68" s="10" t="n">
        <v>12100</v>
      </c>
      <c r="M68" s="10" t="n">
        <f aca="false">I68-J68</f>
        <v>3978.8</v>
      </c>
      <c r="N68" s="10" t="n">
        <f aca="false">IFERROR(M68/I68,0)</f>
        <v>0.49</v>
      </c>
      <c r="O68" s="10" t="n">
        <f aca="false">IFERROR(H68/F68,0)</f>
        <v>0.00366254104571862</v>
      </c>
      <c r="P68" s="10" t="n">
        <f aca="false">IFERROR(K68/H68,0)</f>
        <v>0.275862068965517</v>
      </c>
      <c r="Q68" s="10" t="str">
        <f aca="false">IF(AND(N68&gt;=Assumptions!$B$2,O68&gt;=Assumptions!$B$3),"On Target","Review")</f>
        <v>Review</v>
      </c>
    </row>
    <row r="69" customFormat="false" ht="15" hidden="false" customHeight="true" outlineLevel="0" collapsed="false">
      <c r="A69" s="10" t="s">
        <v>167</v>
      </c>
      <c r="B69" s="10" t="s">
        <v>88</v>
      </c>
      <c r="C69" s="10" t="s">
        <v>100</v>
      </c>
      <c r="D69" s="10" t="s">
        <v>98</v>
      </c>
      <c r="E69" s="10" t="s">
        <v>102</v>
      </c>
      <c r="F69" s="10" t="n">
        <v>8091</v>
      </c>
      <c r="G69" s="10" t="n">
        <v>331</v>
      </c>
      <c r="H69" s="10" t="n">
        <v>39</v>
      </c>
      <c r="I69" s="10" t="n">
        <v>13455</v>
      </c>
      <c r="J69" s="10" t="n">
        <v>7467.53</v>
      </c>
      <c r="K69" s="10" t="n">
        <v>5</v>
      </c>
      <c r="L69" s="10" t="n">
        <v>13900</v>
      </c>
      <c r="M69" s="10" t="n">
        <f aca="false">I69-J69</f>
        <v>5987.47</v>
      </c>
      <c r="N69" s="10" t="n">
        <f aca="false">IFERROR(M69/I69,0)</f>
        <v>0.444999628390933</v>
      </c>
      <c r="O69" s="10" t="n">
        <f aca="false">IFERROR(H69/F69,0)</f>
        <v>0.00482017055988135</v>
      </c>
      <c r="P69" s="10" t="n">
        <f aca="false">IFERROR(K69/H69,0)</f>
        <v>0.128205128205128</v>
      </c>
      <c r="Q69" s="10" t="str">
        <f aca="false">IF(AND(N69&gt;=Assumptions!$B$2,O69&gt;=Assumptions!$B$3),"On Target","Review")</f>
        <v>Review</v>
      </c>
    </row>
    <row r="70" customFormat="false" ht="15" hidden="false" customHeight="true" outlineLevel="0" collapsed="false">
      <c r="A70" s="10" t="s">
        <v>168</v>
      </c>
      <c r="B70" s="10" t="s">
        <v>90</v>
      </c>
      <c r="C70" s="10" t="s">
        <v>100</v>
      </c>
      <c r="D70" s="10" t="s">
        <v>98</v>
      </c>
      <c r="E70" s="10" t="s">
        <v>102</v>
      </c>
      <c r="F70" s="10" t="n">
        <v>8264</v>
      </c>
      <c r="G70" s="10" t="n">
        <v>388</v>
      </c>
      <c r="H70" s="10" t="n">
        <v>52</v>
      </c>
      <c r="I70" s="10" t="n">
        <v>7800</v>
      </c>
      <c r="J70" s="10" t="n">
        <v>4680</v>
      </c>
      <c r="K70" s="10" t="n">
        <v>6</v>
      </c>
      <c r="L70" s="10" t="n">
        <v>8500</v>
      </c>
      <c r="M70" s="10" t="n">
        <f aca="false">I70-J70</f>
        <v>3120</v>
      </c>
      <c r="N70" s="10" t="n">
        <f aca="false">IFERROR(M70/I70,0)</f>
        <v>0.4</v>
      </c>
      <c r="O70" s="10" t="n">
        <f aca="false">IFERROR(H70/F70,0)</f>
        <v>0.00629235237173282</v>
      </c>
      <c r="P70" s="10" t="n">
        <f aca="false">IFERROR(K70/H70,0)</f>
        <v>0.115384615384615</v>
      </c>
      <c r="Q70" s="10" t="str">
        <f aca="false">IF(AND(N70&gt;=Assumptions!$B$2,O70&gt;=Assumptions!$B$3),"On Target","Review")</f>
        <v>Review</v>
      </c>
    </row>
    <row r="71" customFormat="false" ht="15" hidden="false" customHeight="true" outlineLevel="0" collapsed="false">
      <c r="A71" s="10" t="s">
        <v>169</v>
      </c>
      <c r="B71" s="10" t="s">
        <v>92</v>
      </c>
      <c r="C71" s="10" t="s">
        <v>105</v>
      </c>
      <c r="D71" s="10" t="s">
        <v>98</v>
      </c>
      <c r="E71" s="10" t="s">
        <v>102</v>
      </c>
      <c r="F71" s="10" t="n">
        <v>8437</v>
      </c>
      <c r="G71" s="10" t="n">
        <v>447</v>
      </c>
      <c r="H71" s="10" t="n">
        <v>67</v>
      </c>
      <c r="I71" s="10" t="n">
        <v>14405</v>
      </c>
      <c r="J71" s="10" t="n">
        <v>7346.55</v>
      </c>
      <c r="K71" s="10" t="n">
        <v>0</v>
      </c>
      <c r="L71" s="10" t="n">
        <v>10300</v>
      </c>
      <c r="M71" s="10" t="n">
        <f aca="false">I71-J71</f>
        <v>7058.45</v>
      </c>
      <c r="N71" s="10" t="n">
        <f aca="false">IFERROR(M71/I71,0)</f>
        <v>0.49</v>
      </c>
      <c r="O71" s="10" t="n">
        <f aca="false">IFERROR(H71/F71,0)</f>
        <v>0.00794121133104184</v>
      </c>
      <c r="P71" s="10" t="n">
        <f aca="false">IFERROR(K71/H71,0)</f>
        <v>0</v>
      </c>
      <c r="Q71" s="10" t="str">
        <f aca="false">IF(AND(N71&gt;=Assumptions!$B$2,O71&gt;=Assumptions!$B$3),"On Target","Review")</f>
        <v>Review</v>
      </c>
    </row>
    <row r="72" customFormat="false" ht="15" hidden="false" customHeight="true" outlineLevel="0" collapsed="false">
      <c r="A72" s="10" t="s">
        <v>170</v>
      </c>
      <c r="B72" s="10" t="s">
        <v>95</v>
      </c>
      <c r="C72" s="10" t="s">
        <v>105</v>
      </c>
      <c r="D72" s="10" t="s">
        <v>107</v>
      </c>
      <c r="E72" s="10" t="s">
        <v>112</v>
      </c>
      <c r="F72" s="10" t="n">
        <v>8610</v>
      </c>
      <c r="G72" s="10" t="n">
        <v>507</v>
      </c>
      <c r="H72" s="10" t="n">
        <v>45</v>
      </c>
      <c r="I72" s="10" t="n">
        <v>12600</v>
      </c>
      <c r="J72" s="10" t="n">
        <v>6993</v>
      </c>
      <c r="K72" s="10" t="n">
        <v>2</v>
      </c>
      <c r="L72" s="10" t="n">
        <v>12100</v>
      </c>
      <c r="M72" s="10" t="n">
        <f aca="false">I72-J72</f>
        <v>5607</v>
      </c>
      <c r="N72" s="10" t="n">
        <f aca="false">IFERROR(M72/I72,0)</f>
        <v>0.445</v>
      </c>
      <c r="O72" s="10" t="n">
        <f aca="false">IFERROR(H72/F72,0)</f>
        <v>0.00522648083623693</v>
      </c>
      <c r="P72" s="10" t="n">
        <f aca="false">IFERROR(K72/H72,0)</f>
        <v>0.0444444444444444</v>
      </c>
      <c r="Q72" s="10" t="str">
        <f aca="false">IF(AND(N72&gt;=Assumptions!$B$2,O72&gt;=Assumptions!$B$3),"On Target","Review")</f>
        <v>Review</v>
      </c>
    </row>
    <row r="73" customFormat="false" ht="15" hidden="false" customHeight="true" outlineLevel="0" collapsed="false">
      <c r="A73" s="10" t="s">
        <v>171</v>
      </c>
      <c r="B73" s="10" t="s">
        <v>97</v>
      </c>
      <c r="C73" s="10" t="s">
        <v>105</v>
      </c>
      <c r="D73" s="10" t="s">
        <v>107</v>
      </c>
      <c r="E73" s="10" t="s">
        <v>112</v>
      </c>
      <c r="F73" s="10" t="n">
        <v>8783</v>
      </c>
      <c r="G73" s="10" t="n">
        <v>570</v>
      </c>
      <c r="H73" s="10" t="n">
        <v>59</v>
      </c>
      <c r="I73" s="10" t="n">
        <v>20355</v>
      </c>
      <c r="J73" s="10" t="n">
        <v>12213</v>
      </c>
      <c r="K73" s="10" t="n">
        <v>13</v>
      </c>
      <c r="L73" s="10" t="n">
        <v>13900</v>
      </c>
      <c r="M73" s="10" t="n">
        <f aca="false">I73-J73</f>
        <v>8142</v>
      </c>
      <c r="N73" s="10" t="n">
        <f aca="false">IFERROR(M73/I73,0)</f>
        <v>0.4</v>
      </c>
      <c r="O73" s="10" t="n">
        <f aca="false">IFERROR(H73/F73,0)</f>
        <v>0.00671752248662188</v>
      </c>
      <c r="P73" s="10" t="n">
        <f aca="false">IFERROR(K73/H73,0)</f>
        <v>0.220338983050847</v>
      </c>
      <c r="Q73" s="10" t="str">
        <f aca="false">IF(AND(N73&gt;=Assumptions!$B$2,O73&gt;=Assumptions!$B$3),"On Target","Review")</f>
        <v>Review</v>
      </c>
    </row>
    <row r="74" customFormat="false" ht="15" hidden="false" customHeight="true" outlineLevel="0" collapsed="false">
      <c r="A74" s="10" t="s">
        <v>172</v>
      </c>
      <c r="B74" s="10" t="s">
        <v>83</v>
      </c>
      <c r="C74" s="10" t="s">
        <v>84</v>
      </c>
      <c r="D74" s="10" t="s">
        <v>107</v>
      </c>
      <c r="E74" s="10" t="s">
        <v>112</v>
      </c>
      <c r="F74" s="10" t="n">
        <v>8956</v>
      </c>
      <c r="G74" s="10" t="n">
        <v>313</v>
      </c>
      <c r="H74" s="10" t="n">
        <v>37</v>
      </c>
      <c r="I74" s="10" t="n">
        <v>5550</v>
      </c>
      <c r="J74" s="10" t="n">
        <v>2830.5</v>
      </c>
      <c r="K74" s="10" t="n">
        <v>8</v>
      </c>
      <c r="L74" s="10" t="n">
        <v>8500</v>
      </c>
      <c r="M74" s="10" t="n">
        <f aca="false">I74-J74</f>
        <v>2719.5</v>
      </c>
      <c r="N74" s="10" t="n">
        <f aca="false">IFERROR(M74/I74,0)</f>
        <v>0.49</v>
      </c>
      <c r="O74" s="10" t="n">
        <f aca="false">IFERROR(H74/F74,0)</f>
        <v>0.00413130861991961</v>
      </c>
      <c r="P74" s="10" t="n">
        <f aca="false">IFERROR(K74/H74,0)</f>
        <v>0.216216216216216</v>
      </c>
      <c r="Q74" s="10" t="str">
        <f aca="false">IF(AND(N74&gt;=Assumptions!$B$2,O74&gt;=Assumptions!$B$3),"On Target","Review")</f>
        <v>Review</v>
      </c>
    </row>
    <row r="75" customFormat="false" ht="15" hidden="false" customHeight="true" outlineLevel="0" collapsed="false">
      <c r="A75" s="10" t="s">
        <v>173</v>
      </c>
      <c r="B75" s="10" t="s">
        <v>88</v>
      </c>
      <c r="C75" s="10" t="s">
        <v>84</v>
      </c>
      <c r="D75" s="10" t="s">
        <v>107</v>
      </c>
      <c r="E75" s="10" t="s">
        <v>112</v>
      </c>
      <c r="F75" s="10" t="n">
        <v>9129</v>
      </c>
      <c r="G75" s="10" t="n">
        <v>374</v>
      </c>
      <c r="H75" s="10" t="n">
        <v>50</v>
      </c>
      <c r="I75" s="10" t="n">
        <v>10750</v>
      </c>
      <c r="J75" s="10" t="n">
        <v>5966.25</v>
      </c>
      <c r="K75" s="10" t="n">
        <v>15</v>
      </c>
      <c r="L75" s="10" t="n">
        <v>10300</v>
      </c>
      <c r="M75" s="10" t="n">
        <f aca="false">I75-J75</f>
        <v>4783.75</v>
      </c>
      <c r="N75" s="10" t="n">
        <f aca="false">IFERROR(M75/I75,0)</f>
        <v>0.445</v>
      </c>
      <c r="O75" s="10" t="n">
        <f aca="false">IFERROR(H75/F75,0)</f>
        <v>0.00547705115565779</v>
      </c>
      <c r="P75" s="10" t="n">
        <f aca="false">IFERROR(K75/H75,0)</f>
        <v>0.3</v>
      </c>
      <c r="Q75" s="10" t="str">
        <f aca="false">IF(AND(N75&gt;=Assumptions!$B$2,O75&gt;=Assumptions!$B$3),"On Target","Review")</f>
        <v>Review</v>
      </c>
    </row>
    <row r="76" customFormat="false" ht="15" hidden="false" customHeight="true" outlineLevel="0" collapsed="false">
      <c r="A76" s="10" t="s">
        <v>174</v>
      </c>
      <c r="B76" s="10" t="s">
        <v>90</v>
      </c>
      <c r="C76" s="10" t="s">
        <v>84</v>
      </c>
      <c r="D76" s="10" t="s">
        <v>107</v>
      </c>
      <c r="E76" s="10" t="s">
        <v>112</v>
      </c>
      <c r="F76" s="10" t="n">
        <v>9302</v>
      </c>
      <c r="G76" s="10" t="n">
        <v>437</v>
      </c>
      <c r="H76" s="10" t="n">
        <v>65</v>
      </c>
      <c r="I76" s="10" t="n">
        <v>18200</v>
      </c>
      <c r="J76" s="10" t="n">
        <v>10920</v>
      </c>
      <c r="K76" s="10" t="n">
        <v>2</v>
      </c>
      <c r="L76" s="10" t="n">
        <v>12100</v>
      </c>
      <c r="M76" s="10" t="n">
        <f aca="false">I76-J76</f>
        <v>7280</v>
      </c>
      <c r="N76" s="10" t="n">
        <f aca="false">IFERROR(M76/I76,0)</f>
        <v>0.4</v>
      </c>
      <c r="O76" s="10" t="n">
        <f aca="false">IFERROR(H76/F76,0)</f>
        <v>0.00698774457105999</v>
      </c>
      <c r="P76" s="10" t="n">
        <f aca="false">IFERROR(K76/H76,0)</f>
        <v>0.0307692307692308</v>
      </c>
      <c r="Q76" s="10" t="str">
        <f aca="false">IF(AND(N76&gt;=Assumptions!$B$2,O76&gt;=Assumptions!$B$3),"On Target","Review")</f>
        <v>Review</v>
      </c>
    </row>
    <row r="77" customFormat="false" ht="15" hidden="false" customHeight="true" outlineLevel="0" collapsed="false">
      <c r="A77" s="10" t="s">
        <v>175</v>
      </c>
      <c r="B77" s="10" t="s">
        <v>92</v>
      </c>
      <c r="C77" s="10" t="s">
        <v>93</v>
      </c>
      <c r="D77" s="10" t="s">
        <v>114</v>
      </c>
      <c r="E77" s="10" t="s">
        <v>112</v>
      </c>
      <c r="F77" s="10" t="n">
        <v>9475</v>
      </c>
      <c r="G77" s="10" t="n">
        <v>502</v>
      </c>
      <c r="H77" s="10" t="n">
        <v>45</v>
      </c>
      <c r="I77" s="10" t="n">
        <v>15525</v>
      </c>
      <c r="J77" s="10" t="n">
        <v>7917.75</v>
      </c>
      <c r="K77" s="10" t="n">
        <v>1</v>
      </c>
      <c r="L77" s="10" t="n">
        <v>13900</v>
      </c>
      <c r="M77" s="10" t="n">
        <f aca="false">I77-J77</f>
        <v>7607.25</v>
      </c>
      <c r="N77" s="10" t="n">
        <f aca="false">IFERROR(M77/I77,0)</f>
        <v>0.49</v>
      </c>
      <c r="O77" s="10" t="n">
        <f aca="false">IFERROR(H77/F77,0)</f>
        <v>0.00474934036939314</v>
      </c>
      <c r="P77" s="10" t="n">
        <f aca="false">IFERROR(K77/H77,0)</f>
        <v>0.0222222222222222</v>
      </c>
      <c r="Q77" s="10" t="str">
        <f aca="false">IF(AND(N77&gt;=Assumptions!$B$2,O77&gt;=Assumptions!$B$3),"On Target","Review")</f>
        <v>Review</v>
      </c>
    </row>
    <row r="78" customFormat="false" ht="15" hidden="false" customHeight="true" outlineLevel="0" collapsed="false">
      <c r="A78" s="10" t="s">
        <v>176</v>
      </c>
      <c r="B78" s="10" t="s">
        <v>95</v>
      </c>
      <c r="C78" s="10" t="s">
        <v>93</v>
      </c>
      <c r="D78" s="10" t="s">
        <v>114</v>
      </c>
      <c r="E78" s="10" t="s">
        <v>112</v>
      </c>
      <c r="F78" s="10" t="n">
        <v>9648</v>
      </c>
      <c r="G78" s="10" t="n">
        <v>569</v>
      </c>
      <c r="H78" s="10" t="n">
        <v>59</v>
      </c>
      <c r="I78" s="10" t="n">
        <v>8850</v>
      </c>
      <c r="J78" s="10" t="n">
        <v>4911.75</v>
      </c>
      <c r="K78" s="10" t="n">
        <v>8</v>
      </c>
      <c r="L78" s="10" t="n">
        <v>8500</v>
      </c>
      <c r="M78" s="10" t="n">
        <f aca="false">I78-J78</f>
        <v>3938.25</v>
      </c>
      <c r="N78" s="10" t="n">
        <f aca="false">IFERROR(M78/I78,0)</f>
        <v>0.445</v>
      </c>
      <c r="O78" s="10" t="n">
        <f aca="false">IFERROR(H78/F78,0)</f>
        <v>0.00611525704809287</v>
      </c>
      <c r="P78" s="10" t="n">
        <f aca="false">IFERROR(K78/H78,0)</f>
        <v>0.135593220338983</v>
      </c>
      <c r="Q78" s="10" t="str">
        <f aca="false">IF(AND(N78&gt;=Assumptions!$B$2,O78&gt;=Assumptions!$B$3),"On Target","Review")</f>
        <v>Review</v>
      </c>
    </row>
    <row r="79" customFormat="false" ht="15" hidden="false" customHeight="true" outlineLevel="0" collapsed="false">
      <c r="A79" s="10" t="s">
        <v>177</v>
      </c>
      <c r="B79" s="10" t="s">
        <v>97</v>
      </c>
      <c r="C79" s="10" t="s">
        <v>93</v>
      </c>
      <c r="D79" s="10" t="s">
        <v>114</v>
      </c>
      <c r="E79" s="10" t="s">
        <v>121</v>
      </c>
      <c r="F79" s="10" t="n">
        <v>9821</v>
      </c>
      <c r="G79" s="10" t="n">
        <v>638</v>
      </c>
      <c r="H79" s="10" t="n">
        <v>76</v>
      </c>
      <c r="I79" s="10" t="n">
        <v>16340</v>
      </c>
      <c r="J79" s="10" t="n">
        <v>9804</v>
      </c>
      <c r="K79" s="10" t="n">
        <v>23</v>
      </c>
      <c r="L79" s="10" t="n">
        <v>10300</v>
      </c>
      <c r="M79" s="10" t="n">
        <f aca="false">I79-J79</f>
        <v>6536</v>
      </c>
      <c r="N79" s="10" t="n">
        <f aca="false">IFERROR(M79/I79,0)</f>
        <v>0.4</v>
      </c>
      <c r="O79" s="10" t="n">
        <f aca="false">IFERROR(H79/F79,0)</f>
        <v>0.00773851949903269</v>
      </c>
      <c r="P79" s="10" t="n">
        <f aca="false">IFERROR(K79/H79,0)</f>
        <v>0.302631578947368</v>
      </c>
      <c r="Q79" s="10" t="str">
        <f aca="false">IF(AND(N79&gt;=Assumptions!$B$2,O79&gt;=Assumptions!$B$3),"On Target","Review")</f>
        <v>Review</v>
      </c>
    </row>
    <row r="80" customFormat="false" ht="15" hidden="false" customHeight="true" outlineLevel="0" collapsed="false">
      <c r="A80" s="10" t="s">
        <v>178</v>
      </c>
      <c r="B80" s="10" t="s">
        <v>83</v>
      </c>
      <c r="C80" s="10" t="s">
        <v>100</v>
      </c>
      <c r="D80" s="10" t="s">
        <v>114</v>
      </c>
      <c r="E80" s="10" t="s">
        <v>121</v>
      </c>
      <c r="F80" s="10" t="n">
        <v>9994</v>
      </c>
      <c r="G80" s="10" t="n">
        <v>349</v>
      </c>
      <c r="H80" s="10" t="n">
        <v>47</v>
      </c>
      <c r="I80" s="10" t="n">
        <v>13160</v>
      </c>
      <c r="J80" s="10" t="n">
        <v>6711.6</v>
      </c>
      <c r="K80" s="10" t="n">
        <v>10</v>
      </c>
      <c r="L80" s="10" t="n">
        <v>12100</v>
      </c>
      <c r="M80" s="10" t="n">
        <f aca="false">I80-J80</f>
        <v>6448.4</v>
      </c>
      <c r="N80" s="10" t="n">
        <f aca="false">IFERROR(M80/I80,0)</f>
        <v>0.49</v>
      </c>
      <c r="O80" s="10" t="n">
        <f aca="false">IFERROR(H80/F80,0)</f>
        <v>0.00470282169301581</v>
      </c>
      <c r="P80" s="10" t="n">
        <f aca="false">IFERROR(K80/H80,0)</f>
        <v>0.212765957446809</v>
      </c>
      <c r="Q80" s="10" t="str">
        <f aca="false">IF(AND(N80&gt;=Assumptions!$B$2,O80&gt;=Assumptions!$B$3),"On Target","Review")</f>
        <v>Review</v>
      </c>
    </row>
    <row r="81" customFormat="false" ht="15" hidden="false" customHeight="true" outlineLevel="0" collapsed="false">
      <c r="A81" s="10" t="s">
        <v>179</v>
      </c>
      <c r="B81" s="10" t="s">
        <v>88</v>
      </c>
      <c r="C81" s="10" t="s">
        <v>100</v>
      </c>
      <c r="D81" s="10" t="s">
        <v>114</v>
      </c>
      <c r="E81" s="10" t="s">
        <v>121</v>
      </c>
      <c r="F81" s="10" t="n">
        <v>10167</v>
      </c>
      <c r="G81" s="10" t="n">
        <v>416</v>
      </c>
      <c r="H81" s="10" t="n">
        <v>62</v>
      </c>
      <c r="I81" s="10" t="n">
        <v>21390</v>
      </c>
      <c r="J81" s="10" t="n">
        <v>11871.45</v>
      </c>
      <c r="K81" s="10" t="n">
        <v>6</v>
      </c>
      <c r="L81" s="10" t="n">
        <v>13900</v>
      </c>
      <c r="M81" s="10" t="n">
        <f aca="false">I81-J81</f>
        <v>9518.55</v>
      </c>
      <c r="N81" s="10" t="n">
        <f aca="false">IFERROR(M81/I81,0)</f>
        <v>0.445</v>
      </c>
      <c r="O81" s="10" t="n">
        <f aca="false">IFERROR(H81/F81,0)</f>
        <v>0.0060981607160421</v>
      </c>
      <c r="P81" s="10" t="n">
        <f aca="false">IFERROR(K81/H81,0)</f>
        <v>0.0967741935483871</v>
      </c>
      <c r="Q81" s="10" t="str">
        <f aca="false">IF(AND(N81&gt;=Assumptions!$B$2,O81&gt;=Assumptions!$B$3),"On Target","Review")</f>
        <v>Review</v>
      </c>
    </row>
    <row r="82" customFormat="false" ht="15" hidden="false" customHeight="true" outlineLevel="0" collapsed="false">
      <c r="A82" s="10" t="s">
        <v>180</v>
      </c>
      <c r="B82" s="10" t="s">
        <v>90</v>
      </c>
      <c r="C82" s="10" t="s">
        <v>100</v>
      </c>
      <c r="D82" s="10" t="s">
        <v>85</v>
      </c>
      <c r="E82" s="10" t="s">
        <v>121</v>
      </c>
      <c r="F82" s="10" t="n">
        <v>10340</v>
      </c>
      <c r="G82" s="10" t="n">
        <v>485</v>
      </c>
      <c r="H82" s="10" t="n">
        <v>43</v>
      </c>
      <c r="I82" s="10" t="n">
        <v>6450</v>
      </c>
      <c r="J82" s="10" t="n">
        <v>3870</v>
      </c>
      <c r="K82" s="10" t="n">
        <v>0</v>
      </c>
      <c r="L82" s="10" t="n">
        <v>8500</v>
      </c>
      <c r="M82" s="10" t="n">
        <f aca="false">I82-J82</f>
        <v>2580</v>
      </c>
      <c r="N82" s="10" t="n">
        <f aca="false">IFERROR(M82/I82,0)</f>
        <v>0.4</v>
      </c>
      <c r="O82" s="10" t="n">
        <f aca="false">IFERROR(H82/F82,0)</f>
        <v>0.00415860735009671</v>
      </c>
      <c r="P82" s="10" t="n">
        <f aca="false">IFERROR(K82/H82,0)</f>
        <v>0</v>
      </c>
      <c r="Q82" s="10" t="str">
        <f aca="false">IF(AND(N82&gt;=Assumptions!$B$2,O82&gt;=Assumptions!$B$3),"On Target","Review")</f>
        <v>Review</v>
      </c>
    </row>
    <row r="83" customFormat="false" ht="15" hidden="false" customHeight="true" outlineLevel="0" collapsed="false">
      <c r="A83" s="10" t="s">
        <v>181</v>
      </c>
      <c r="B83" s="10" t="s">
        <v>92</v>
      </c>
      <c r="C83" s="10" t="s">
        <v>105</v>
      </c>
      <c r="D83" s="10" t="s">
        <v>85</v>
      </c>
      <c r="E83" s="10" t="s">
        <v>121</v>
      </c>
      <c r="F83" s="10" t="n">
        <v>3513</v>
      </c>
      <c r="G83" s="10" t="n">
        <v>186</v>
      </c>
      <c r="H83" s="10" t="n">
        <v>19</v>
      </c>
      <c r="I83" s="10" t="n">
        <v>4085</v>
      </c>
      <c r="J83" s="10" t="n">
        <v>2083.35</v>
      </c>
      <c r="K83" s="10" t="n">
        <v>5</v>
      </c>
      <c r="L83" s="10" t="n">
        <v>10300</v>
      </c>
      <c r="M83" s="10" t="n">
        <f aca="false">I83-J83</f>
        <v>2001.65</v>
      </c>
      <c r="N83" s="10" t="n">
        <f aca="false">IFERROR(M83/I83,0)</f>
        <v>0.49</v>
      </c>
      <c r="O83" s="10" t="n">
        <f aca="false">IFERROR(H83/F83,0)</f>
        <v>0.00540848277825221</v>
      </c>
      <c r="P83" s="10" t="n">
        <f aca="false">IFERROR(K83/H83,0)</f>
        <v>0.263157894736842</v>
      </c>
      <c r="Q83" s="10" t="str">
        <f aca="false">IF(AND(N83&gt;=Assumptions!$B$2,O83&gt;=Assumptions!$B$3),"On Target","Review")</f>
        <v>Review</v>
      </c>
    </row>
    <row r="84" customFormat="false" ht="15" hidden="false" customHeight="true" outlineLevel="0" collapsed="false">
      <c r="A84" s="10" t="s">
        <v>182</v>
      </c>
      <c r="B84" s="10" t="s">
        <v>95</v>
      </c>
      <c r="C84" s="10" t="s">
        <v>105</v>
      </c>
      <c r="D84" s="10" t="s">
        <v>85</v>
      </c>
      <c r="E84" s="10" t="s">
        <v>121</v>
      </c>
      <c r="F84" s="10" t="n">
        <v>3686</v>
      </c>
      <c r="G84" s="10" t="n">
        <v>217</v>
      </c>
      <c r="H84" s="10" t="n">
        <v>26</v>
      </c>
      <c r="I84" s="10" t="n">
        <v>7280</v>
      </c>
      <c r="J84" s="10" t="n">
        <v>4040.4</v>
      </c>
      <c r="K84" s="10" t="n">
        <v>3</v>
      </c>
      <c r="L84" s="10" t="n">
        <v>12100</v>
      </c>
      <c r="M84" s="10" t="n">
        <f aca="false">I84-J84</f>
        <v>3239.6</v>
      </c>
      <c r="N84" s="10" t="n">
        <f aca="false">IFERROR(M84/I84,0)</f>
        <v>0.445</v>
      </c>
      <c r="O84" s="10" t="n">
        <f aca="false">IFERROR(H84/F84,0)</f>
        <v>0.00705371676614216</v>
      </c>
      <c r="P84" s="10" t="n">
        <f aca="false">IFERROR(K84/H84,0)</f>
        <v>0.115384615384615</v>
      </c>
      <c r="Q84" s="10" t="str">
        <f aca="false">IF(AND(N84&gt;=Assumptions!$B$2,O84&gt;=Assumptions!$B$3),"On Target","Review")</f>
        <v>Review</v>
      </c>
    </row>
    <row r="85" customFormat="false" ht="15" hidden="false" customHeight="true" outlineLevel="0" collapsed="false">
      <c r="A85" s="10" t="s">
        <v>183</v>
      </c>
      <c r="B85" s="10" t="s">
        <v>97</v>
      </c>
      <c r="C85" s="10" t="s">
        <v>105</v>
      </c>
      <c r="D85" s="10" t="s">
        <v>85</v>
      </c>
      <c r="E85" s="10" t="s">
        <v>121</v>
      </c>
      <c r="F85" s="10" t="n">
        <v>3859</v>
      </c>
      <c r="G85" s="10" t="n">
        <v>250</v>
      </c>
      <c r="H85" s="10" t="n">
        <v>33</v>
      </c>
      <c r="I85" s="10" t="n">
        <v>11385</v>
      </c>
      <c r="J85" s="10" t="n">
        <v>6831</v>
      </c>
      <c r="K85" s="10" t="n">
        <v>9</v>
      </c>
      <c r="L85" s="10" t="n">
        <v>13900</v>
      </c>
      <c r="M85" s="10" t="n">
        <f aca="false">I85-J85</f>
        <v>4554</v>
      </c>
      <c r="N85" s="10" t="n">
        <f aca="false">IFERROR(M85/I85,0)</f>
        <v>0.4</v>
      </c>
      <c r="O85" s="10" t="n">
        <f aca="false">IFERROR(H85/F85,0)</f>
        <v>0.00855143819642395</v>
      </c>
      <c r="P85" s="10" t="n">
        <f aca="false">IFERROR(K85/H85,0)</f>
        <v>0.272727272727273</v>
      </c>
      <c r="Q85" s="10" t="str">
        <f aca="false">IF(AND(N85&gt;=Assumptions!$B$2,O85&gt;=Assumptions!$B$3),"On Target","Review")</f>
        <v>Review</v>
      </c>
    </row>
    <row r="86" customFormat="false" ht="15" hidden="false" customHeight="true" outlineLevel="0" collapsed="false">
      <c r="A86" s="10" t="s">
        <v>184</v>
      </c>
      <c r="B86" s="10" t="s">
        <v>83</v>
      </c>
      <c r="C86" s="10" t="s">
        <v>84</v>
      </c>
      <c r="D86" s="10" t="s">
        <v>85</v>
      </c>
      <c r="E86" s="10" t="s">
        <v>86</v>
      </c>
      <c r="F86" s="10" t="n">
        <v>4032</v>
      </c>
      <c r="G86" s="10" t="n">
        <v>141</v>
      </c>
      <c r="H86" s="10" t="n">
        <v>21</v>
      </c>
      <c r="I86" s="10" t="n">
        <v>3150</v>
      </c>
      <c r="J86" s="10" t="n">
        <v>1606.5</v>
      </c>
      <c r="K86" s="10" t="n">
        <v>4</v>
      </c>
      <c r="L86" s="10" t="n">
        <v>8500</v>
      </c>
      <c r="M86" s="10" t="n">
        <f aca="false">I86-J86</f>
        <v>1543.5</v>
      </c>
      <c r="N86" s="10" t="n">
        <f aca="false">IFERROR(M86/I86,0)</f>
        <v>0.49</v>
      </c>
      <c r="O86" s="10" t="n">
        <f aca="false">IFERROR(H86/F86,0)</f>
        <v>0.00520833333333333</v>
      </c>
      <c r="P86" s="10" t="n">
        <f aca="false">IFERROR(K86/H86,0)</f>
        <v>0.19047619047619</v>
      </c>
      <c r="Q86" s="10" t="str">
        <f aca="false">IF(AND(N86&gt;=Assumptions!$B$2,O86&gt;=Assumptions!$B$3),"On Target","Review")</f>
        <v>Review</v>
      </c>
    </row>
    <row r="87" customFormat="false" ht="15" hidden="false" customHeight="true" outlineLevel="0" collapsed="false">
      <c r="A87" s="10" t="s">
        <v>185</v>
      </c>
      <c r="B87" s="10" t="s">
        <v>88</v>
      </c>
      <c r="C87" s="10" t="s">
        <v>84</v>
      </c>
      <c r="D87" s="10" t="s">
        <v>98</v>
      </c>
      <c r="E87" s="10" t="s">
        <v>86</v>
      </c>
      <c r="F87" s="10" t="n">
        <v>4205</v>
      </c>
      <c r="G87" s="10" t="n">
        <v>172</v>
      </c>
      <c r="H87" s="10" t="n">
        <v>15</v>
      </c>
      <c r="I87" s="10" t="n">
        <v>3225</v>
      </c>
      <c r="J87" s="10" t="n">
        <v>1789.88</v>
      </c>
      <c r="K87" s="10" t="n">
        <v>3</v>
      </c>
      <c r="L87" s="10" t="n">
        <v>10300</v>
      </c>
      <c r="M87" s="10" t="n">
        <f aca="false">I87-J87</f>
        <v>1435.12</v>
      </c>
      <c r="N87" s="10" t="n">
        <f aca="false">IFERROR(M87/I87,0)</f>
        <v>0.444998449612403</v>
      </c>
      <c r="O87" s="10" t="n">
        <f aca="false">IFERROR(H87/F87,0)</f>
        <v>0.00356718192627824</v>
      </c>
      <c r="P87" s="10" t="n">
        <f aca="false">IFERROR(K87/H87,0)</f>
        <v>0.2</v>
      </c>
      <c r="Q87" s="10" t="str">
        <f aca="false">IF(AND(N87&gt;=Assumptions!$B$2,O87&gt;=Assumptions!$B$3),"On Target","Review")</f>
        <v>Review</v>
      </c>
    </row>
    <row r="88" customFormat="false" ht="15" hidden="false" customHeight="true" outlineLevel="0" collapsed="false">
      <c r="A88" s="10" t="s">
        <v>186</v>
      </c>
      <c r="B88" s="10" t="s">
        <v>90</v>
      </c>
      <c r="C88" s="10" t="s">
        <v>84</v>
      </c>
      <c r="D88" s="10" t="s">
        <v>98</v>
      </c>
      <c r="E88" s="10" t="s">
        <v>86</v>
      </c>
      <c r="F88" s="10" t="n">
        <v>4378</v>
      </c>
      <c r="G88" s="10" t="n">
        <v>205</v>
      </c>
      <c r="H88" s="10" t="n">
        <v>21</v>
      </c>
      <c r="I88" s="10" t="n">
        <v>5880</v>
      </c>
      <c r="J88" s="10" t="n">
        <v>3528</v>
      </c>
      <c r="K88" s="10" t="n">
        <v>2</v>
      </c>
      <c r="L88" s="10" t="n">
        <v>12100</v>
      </c>
      <c r="M88" s="10" t="n">
        <f aca="false">I88-J88</f>
        <v>2352</v>
      </c>
      <c r="N88" s="10" t="n">
        <f aca="false">IFERROR(M88/I88,0)</f>
        <v>0.4</v>
      </c>
      <c r="O88" s="10" t="n">
        <f aca="false">IFERROR(H88/F88,0)</f>
        <v>0.00479671082686158</v>
      </c>
      <c r="P88" s="10" t="n">
        <f aca="false">IFERROR(K88/H88,0)</f>
        <v>0.0952380952380952</v>
      </c>
      <c r="Q88" s="10" t="str">
        <f aca="false">IF(AND(N88&gt;=Assumptions!$B$2,O88&gt;=Assumptions!$B$3),"On Target","Review")</f>
        <v>Review</v>
      </c>
    </row>
    <row r="89" customFormat="false" ht="15" hidden="false" customHeight="true" outlineLevel="0" collapsed="false">
      <c r="A89" s="10" t="s">
        <v>187</v>
      </c>
      <c r="B89" s="10" t="s">
        <v>92</v>
      </c>
      <c r="C89" s="10" t="s">
        <v>93</v>
      </c>
      <c r="D89" s="10" t="s">
        <v>98</v>
      </c>
      <c r="E89" s="10" t="s">
        <v>86</v>
      </c>
      <c r="F89" s="10" t="n">
        <v>4551</v>
      </c>
      <c r="G89" s="10" t="n">
        <v>241</v>
      </c>
      <c r="H89" s="10" t="n">
        <v>28</v>
      </c>
      <c r="I89" s="10" t="n">
        <v>9660</v>
      </c>
      <c r="J89" s="10" t="n">
        <v>4926.6</v>
      </c>
      <c r="K89" s="10" t="n">
        <v>1</v>
      </c>
      <c r="L89" s="10" t="n">
        <v>13900</v>
      </c>
      <c r="M89" s="10" t="n">
        <f aca="false">I89-J89</f>
        <v>4733.4</v>
      </c>
      <c r="N89" s="10" t="n">
        <f aca="false">IFERROR(M89/I89,0)</f>
        <v>0.49</v>
      </c>
      <c r="O89" s="10" t="n">
        <f aca="false">IFERROR(H89/F89,0)</f>
        <v>0.00615249395737201</v>
      </c>
      <c r="P89" s="10" t="n">
        <f aca="false">IFERROR(K89/H89,0)</f>
        <v>0.0357142857142857</v>
      </c>
      <c r="Q89" s="10" t="str">
        <f aca="false">IF(AND(N89&gt;=Assumptions!$B$2,O89&gt;=Assumptions!$B$3),"On Target","Review")</f>
        <v>Review</v>
      </c>
    </row>
    <row r="90" customFormat="false" ht="15" hidden="false" customHeight="true" outlineLevel="0" collapsed="false">
      <c r="A90" s="10" t="s">
        <v>188</v>
      </c>
      <c r="B90" s="10" t="s">
        <v>95</v>
      </c>
      <c r="C90" s="10" t="s">
        <v>93</v>
      </c>
      <c r="D90" s="10" t="s">
        <v>98</v>
      </c>
      <c r="E90" s="10" t="s">
        <v>86</v>
      </c>
      <c r="F90" s="10" t="n">
        <v>4724</v>
      </c>
      <c r="G90" s="10" t="n">
        <v>278</v>
      </c>
      <c r="H90" s="10" t="n">
        <v>37</v>
      </c>
      <c r="I90" s="10" t="n">
        <v>5550</v>
      </c>
      <c r="J90" s="10" t="n">
        <v>3080.25</v>
      </c>
      <c r="K90" s="10" t="n">
        <v>4</v>
      </c>
      <c r="L90" s="10" t="n">
        <v>8500</v>
      </c>
      <c r="M90" s="10" t="n">
        <f aca="false">I90-J90</f>
        <v>2469.75</v>
      </c>
      <c r="N90" s="10" t="n">
        <f aca="false">IFERROR(M90/I90,0)</f>
        <v>0.445</v>
      </c>
      <c r="O90" s="10" t="n">
        <f aca="false">IFERROR(H90/F90,0)</f>
        <v>0.00783234546994073</v>
      </c>
      <c r="P90" s="10" t="n">
        <f aca="false">IFERROR(K90/H90,0)</f>
        <v>0.108108108108108</v>
      </c>
      <c r="Q90" s="10" t="str">
        <f aca="false">IF(AND(N90&gt;=Assumptions!$B$2,O90&gt;=Assumptions!$B$3),"On Target","Review")</f>
        <v>Review</v>
      </c>
    </row>
    <row r="91" customFormat="false" ht="15" hidden="false" customHeight="true" outlineLevel="0" collapsed="false">
      <c r="A91" s="10" t="s">
        <v>189</v>
      </c>
      <c r="B91" s="10" t="s">
        <v>97</v>
      </c>
      <c r="C91" s="10" t="s">
        <v>93</v>
      </c>
      <c r="D91" s="10" t="s">
        <v>98</v>
      </c>
      <c r="E91" s="10" t="s">
        <v>86</v>
      </c>
      <c r="F91" s="10" t="n">
        <v>4897</v>
      </c>
      <c r="G91" s="10" t="n">
        <v>318</v>
      </c>
      <c r="H91" s="10" t="n">
        <v>47</v>
      </c>
      <c r="I91" s="10" t="n">
        <v>10105</v>
      </c>
      <c r="J91" s="10" t="n">
        <v>6063</v>
      </c>
      <c r="K91" s="10" t="n">
        <v>11</v>
      </c>
      <c r="L91" s="10" t="n">
        <v>10300</v>
      </c>
      <c r="M91" s="10" t="n">
        <f aca="false">I91-J91</f>
        <v>4042</v>
      </c>
      <c r="N91" s="10" t="n">
        <f aca="false">IFERROR(M91/I91,0)</f>
        <v>0.4</v>
      </c>
      <c r="O91" s="10" t="n">
        <f aca="false">IFERROR(H91/F91,0)</f>
        <v>0.00959771288544007</v>
      </c>
      <c r="P91" s="10" t="n">
        <f aca="false">IFERROR(K91/H91,0)</f>
        <v>0.234042553191489</v>
      </c>
      <c r="Q91" s="10" t="str">
        <f aca="false">IF(AND(N91&gt;=Assumptions!$B$2,O91&gt;=Assumptions!$B$3),"On Target","Review")</f>
        <v>Review</v>
      </c>
    </row>
    <row r="92" customFormat="false" ht="15" hidden="false" customHeight="true" outlineLevel="0" collapsed="false">
      <c r="A92" s="10" t="s">
        <v>190</v>
      </c>
      <c r="B92" s="10" t="s">
        <v>83</v>
      </c>
      <c r="C92" s="10" t="s">
        <v>100</v>
      </c>
      <c r="D92" s="10" t="s">
        <v>107</v>
      </c>
      <c r="E92" s="10" t="s">
        <v>86</v>
      </c>
      <c r="F92" s="10" t="n">
        <v>5070</v>
      </c>
      <c r="G92" s="10" t="n">
        <v>177</v>
      </c>
      <c r="H92" s="10" t="n">
        <v>15</v>
      </c>
      <c r="I92" s="10" t="n">
        <v>4200</v>
      </c>
      <c r="J92" s="10" t="n">
        <v>2142</v>
      </c>
      <c r="K92" s="10" t="n">
        <v>0</v>
      </c>
      <c r="L92" s="10" t="n">
        <v>12100</v>
      </c>
      <c r="M92" s="10" t="n">
        <f aca="false">I92-J92</f>
        <v>2058</v>
      </c>
      <c r="N92" s="10" t="n">
        <f aca="false">IFERROR(M92/I92,0)</f>
        <v>0.49</v>
      </c>
      <c r="O92" s="10" t="n">
        <f aca="false">IFERROR(H92/F92,0)</f>
        <v>0.0029585798816568</v>
      </c>
      <c r="P92" s="10" t="n">
        <f aca="false">IFERROR(K92/H92,0)</f>
        <v>0</v>
      </c>
      <c r="Q92" s="10" t="str">
        <f aca="false">IF(AND(N92&gt;=Assumptions!$B$2,O92&gt;=Assumptions!$B$3),"On Target","Review")</f>
        <v>Review</v>
      </c>
    </row>
    <row r="93" customFormat="false" ht="15" hidden="false" customHeight="true" outlineLevel="0" collapsed="false">
      <c r="A93" s="10" t="s">
        <v>191</v>
      </c>
      <c r="B93" s="10" t="s">
        <v>88</v>
      </c>
      <c r="C93" s="10" t="s">
        <v>100</v>
      </c>
      <c r="D93" s="10" t="s">
        <v>107</v>
      </c>
      <c r="E93" s="10" t="s">
        <v>102</v>
      </c>
      <c r="F93" s="10" t="n">
        <v>5243</v>
      </c>
      <c r="G93" s="10" t="n">
        <v>214</v>
      </c>
      <c r="H93" s="10" t="n">
        <v>22</v>
      </c>
      <c r="I93" s="10" t="n">
        <v>7590</v>
      </c>
      <c r="J93" s="10" t="n">
        <v>4212.45</v>
      </c>
      <c r="K93" s="10" t="n">
        <v>1</v>
      </c>
      <c r="L93" s="10" t="n">
        <v>13900</v>
      </c>
      <c r="M93" s="10" t="n">
        <f aca="false">I93-J93</f>
        <v>3377.55</v>
      </c>
      <c r="N93" s="10" t="n">
        <f aca="false">IFERROR(M93/I93,0)</f>
        <v>0.445</v>
      </c>
      <c r="O93" s="10" t="n">
        <f aca="false">IFERROR(H93/F93,0)</f>
        <v>0.00419607095174518</v>
      </c>
      <c r="P93" s="10" t="n">
        <f aca="false">IFERROR(K93/H93,0)</f>
        <v>0.0454545454545455</v>
      </c>
      <c r="Q93" s="10" t="str">
        <f aca="false">IF(AND(N93&gt;=Assumptions!$B$2,O93&gt;=Assumptions!$B$3),"On Target","Review")</f>
        <v>Review</v>
      </c>
    </row>
    <row r="94" customFormat="false" ht="15" hidden="false" customHeight="true" outlineLevel="0" collapsed="false">
      <c r="A94" s="10" t="s">
        <v>192</v>
      </c>
      <c r="B94" s="10" t="s">
        <v>90</v>
      </c>
      <c r="C94" s="10" t="s">
        <v>100</v>
      </c>
      <c r="D94" s="10" t="s">
        <v>107</v>
      </c>
      <c r="E94" s="10" t="s">
        <v>102</v>
      </c>
      <c r="F94" s="10" t="n">
        <v>5416</v>
      </c>
      <c r="G94" s="10" t="n">
        <v>254</v>
      </c>
      <c r="H94" s="10" t="n">
        <v>30</v>
      </c>
      <c r="I94" s="10" t="n">
        <v>4500</v>
      </c>
      <c r="J94" s="10" t="n">
        <v>2700</v>
      </c>
      <c r="K94" s="10" t="n">
        <v>1</v>
      </c>
      <c r="L94" s="10" t="n">
        <v>8500</v>
      </c>
      <c r="M94" s="10" t="n">
        <f aca="false">I94-J94</f>
        <v>1800</v>
      </c>
      <c r="N94" s="10" t="n">
        <f aca="false">IFERROR(M94/I94,0)</f>
        <v>0.4</v>
      </c>
      <c r="O94" s="10" t="n">
        <f aca="false">IFERROR(H94/F94,0)</f>
        <v>0.00553914327917282</v>
      </c>
      <c r="P94" s="10" t="n">
        <f aca="false">IFERROR(K94/H94,0)</f>
        <v>0.0333333333333333</v>
      </c>
      <c r="Q94" s="10" t="str">
        <f aca="false">IF(AND(N94&gt;=Assumptions!$B$2,O94&gt;=Assumptions!$B$3),"On Target","Review")</f>
        <v>Review</v>
      </c>
    </row>
    <row r="95" customFormat="false" ht="15" hidden="false" customHeight="true" outlineLevel="0" collapsed="false">
      <c r="A95" s="10" t="s">
        <v>193</v>
      </c>
      <c r="B95" s="10" t="s">
        <v>92</v>
      </c>
      <c r="C95" s="10" t="s">
        <v>105</v>
      </c>
      <c r="D95" s="10" t="s">
        <v>107</v>
      </c>
      <c r="E95" s="10" t="s">
        <v>102</v>
      </c>
      <c r="F95" s="10" t="n">
        <v>5589</v>
      </c>
      <c r="G95" s="10" t="n">
        <v>296</v>
      </c>
      <c r="H95" s="10" t="n">
        <v>39</v>
      </c>
      <c r="I95" s="10" t="n">
        <v>8385</v>
      </c>
      <c r="J95" s="10" t="n">
        <v>4276.35</v>
      </c>
      <c r="K95" s="10" t="n">
        <v>13</v>
      </c>
      <c r="L95" s="10" t="n">
        <v>10300</v>
      </c>
      <c r="M95" s="10" t="n">
        <f aca="false">I95-J95</f>
        <v>4108.65</v>
      </c>
      <c r="N95" s="10" t="n">
        <f aca="false">IFERROR(M95/I95,0)</f>
        <v>0.49</v>
      </c>
      <c r="O95" s="10" t="n">
        <f aca="false">IFERROR(H95/F95,0)</f>
        <v>0.00697799248523886</v>
      </c>
      <c r="P95" s="10" t="n">
        <f aca="false">IFERROR(K95/H95,0)</f>
        <v>0.333333333333333</v>
      </c>
      <c r="Q95" s="10" t="str">
        <f aca="false">IF(AND(N95&gt;=Assumptions!$B$2,O95&gt;=Assumptions!$B$3),"On Target","Review")</f>
        <v>Review</v>
      </c>
    </row>
    <row r="96" customFormat="false" ht="15" hidden="false" customHeight="true" outlineLevel="0" collapsed="false">
      <c r="A96" s="10" t="s">
        <v>194</v>
      </c>
      <c r="B96" s="10" t="s">
        <v>95</v>
      </c>
      <c r="C96" s="10" t="s">
        <v>105</v>
      </c>
      <c r="D96" s="10" t="s">
        <v>107</v>
      </c>
      <c r="E96" s="10" t="s">
        <v>102</v>
      </c>
      <c r="F96" s="10" t="n">
        <v>5762</v>
      </c>
      <c r="G96" s="10" t="n">
        <v>339</v>
      </c>
      <c r="H96" s="10" t="n">
        <v>50</v>
      </c>
      <c r="I96" s="10" t="n">
        <v>14000</v>
      </c>
      <c r="J96" s="10" t="n">
        <v>7770</v>
      </c>
      <c r="K96" s="10" t="n">
        <v>10</v>
      </c>
      <c r="L96" s="10" t="n">
        <v>12100</v>
      </c>
      <c r="M96" s="10" t="n">
        <f aca="false">I96-J96</f>
        <v>6230</v>
      </c>
      <c r="N96" s="10" t="n">
        <f aca="false">IFERROR(M96/I96,0)</f>
        <v>0.445</v>
      </c>
      <c r="O96" s="10" t="n">
        <f aca="false">IFERROR(H96/F96,0)</f>
        <v>0.00867754251995835</v>
      </c>
      <c r="P96" s="10" t="n">
        <f aca="false">IFERROR(K96/H96,0)</f>
        <v>0.2</v>
      </c>
      <c r="Q96" s="10" t="str">
        <f aca="false">IF(AND(N96&gt;=Assumptions!$B$2,O96&gt;=Assumptions!$B$3),"On Target","Review")</f>
        <v>Review</v>
      </c>
    </row>
    <row r="97" customFormat="false" ht="15" hidden="false" customHeight="true" outlineLevel="0" collapsed="false">
      <c r="A97" s="10" t="s">
        <v>195</v>
      </c>
      <c r="B97" s="10" t="s">
        <v>97</v>
      </c>
      <c r="C97" s="10" t="s">
        <v>105</v>
      </c>
      <c r="D97" s="10" t="s">
        <v>114</v>
      </c>
      <c r="E97" s="10" t="s">
        <v>102</v>
      </c>
      <c r="F97" s="10" t="n">
        <v>5935</v>
      </c>
      <c r="G97" s="10" t="n">
        <v>385</v>
      </c>
      <c r="H97" s="10" t="n">
        <v>34</v>
      </c>
      <c r="I97" s="10" t="n">
        <v>11730</v>
      </c>
      <c r="J97" s="10" t="n">
        <v>7038</v>
      </c>
      <c r="K97" s="10" t="n">
        <v>9</v>
      </c>
      <c r="L97" s="10" t="n">
        <v>13900</v>
      </c>
      <c r="M97" s="10" t="n">
        <f aca="false">I97-J97</f>
        <v>4692</v>
      </c>
      <c r="N97" s="10" t="n">
        <f aca="false">IFERROR(M97/I97,0)</f>
        <v>0.4</v>
      </c>
      <c r="O97" s="10" t="n">
        <f aca="false">IFERROR(H97/F97,0)</f>
        <v>0.00572872788542544</v>
      </c>
      <c r="P97" s="10" t="n">
        <f aca="false">IFERROR(K97/H97,0)</f>
        <v>0.264705882352941</v>
      </c>
      <c r="Q97" s="10" t="str">
        <f aca="false">IF(AND(N97&gt;=Assumptions!$B$2,O97&gt;=Assumptions!$B$3),"On Target","Review")</f>
        <v>Review</v>
      </c>
    </row>
  </sheetData>
  <autoFilter ref="A1:Q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9"/>
    <col collapsed="false" customWidth="true" hidden="false" outlineLevel="0" max="2" min="2" style="3" width="11"/>
    <col collapsed="false" customWidth="true" hidden="false" outlineLevel="0" max="3" min="3" style="3" width="22"/>
  </cols>
  <sheetData>
    <row r="1" customFormat="false" ht="15" hidden="false" customHeight="true" outlineLevel="0" collapsed="false">
      <c r="A1" s="9" t="s">
        <v>196</v>
      </c>
      <c r="B1" s="9" t="s">
        <v>1</v>
      </c>
      <c r="C1" s="9" t="s">
        <v>36</v>
      </c>
    </row>
    <row r="2" customFormat="false" ht="15" hidden="false" customHeight="true" outlineLevel="0" collapsed="false">
      <c r="A2" s="6" t="s">
        <v>197</v>
      </c>
      <c r="B2" s="6" t="n">
        <v>0.32</v>
      </c>
      <c r="C2" s="6" t="s">
        <v>198</v>
      </c>
    </row>
    <row r="3" customFormat="false" ht="15" hidden="false" customHeight="true" outlineLevel="0" collapsed="false">
      <c r="A3" s="10" t="s">
        <v>199</v>
      </c>
      <c r="B3" s="10" t="n">
        <v>0.04</v>
      </c>
      <c r="C3" s="10" t="s">
        <v>200</v>
      </c>
    </row>
    <row r="4" customFormat="false" ht="15" hidden="false" customHeight="true" outlineLevel="0" collapsed="false">
      <c r="A4" s="10" t="s">
        <v>201</v>
      </c>
      <c r="B4" s="10" t="n">
        <v>0.08</v>
      </c>
      <c r="C4" s="10" t="s">
        <v>202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8"/>
    <col collapsed="false" customWidth="true" hidden="false" outlineLevel="0" max="2" min="2" style="3" width="34"/>
    <col collapsed="false" customWidth="true" hidden="false" outlineLevel="0" max="3" min="3" style="3" width="11"/>
    <col collapsed="false" customWidth="true" hidden="false" outlineLevel="0" max="4" min="4" style="3" width="28"/>
  </cols>
  <sheetData>
    <row r="1" customFormat="false" ht="15" hidden="false" customHeight="true" outlineLevel="0" collapsed="false">
      <c r="A1" s="9" t="s">
        <v>203</v>
      </c>
      <c r="B1" s="9" t="s">
        <v>49</v>
      </c>
      <c r="C1" s="9" t="s">
        <v>204</v>
      </c>
      <c r="D1" s="9" t="s">
        <v>12</v>
      </c>
    </row>
    <row r="2" customFormat="false" ht="15" hidden="false" customHeight="true" outlineLevel="0" collapsed="false">
      <c r="A2" s="6" t="s">
        <v>205</v>
      </c>
      <c r="B2" s="6" t="n">
        <f aca="false">COUNTA(Campaign_Data!A2:A97)</f>
        <v>96</v>
      </c>
      <c r="C2" s="6" t="n">
        <v>96</v>
      </c>
      <c r="D2" s="6" t="str">
        <f aca="false">IF(B2=C2,"PASS","REVIEW")</f>
        <v>PASS</v>
      </c>
    </row>
    <row r="3" customFormat="false" ht="15" hidden="false" customHeight="true" outlineLevel="0" collapsed="false">
      <c r="A3" s="10" t="s">
        <v>206</v>
      </c>
      <c r="B3" s="10" t="n">
        <f aca="false">COUNTBLANK(Campaign_Data!A2:A97)</f>
        <v>0</v>
      </c>
      <c r="C3" s="10" t="n">
        <v>0</v>
      </c>
      <c r="D3" s="10" t="str">
        <f aca="false">IF(B3=C3,"PASS","REVIEW")</f>
        <v>PASS</v>
      </c>
    </row>
    <row r="4" customFormat="false" ht="15" hidden="false" customHeight="true" outlineLevel="0" collapsed="false">
      <c r="A4" s="10" t="s">
        <v>207</v>
      </c>
      <c r="B4" s="10" t="n">
        <f aca="false">COUNTIF(Campaign_Data!I2:I97,"&lt;0")</f>
        <v>0</v>
      </c>
      <c r="C4" s="10" t="n">
        <v>0</v>
      </c>
      <c r="D4" s="10" t="str">
        <f aca="false">IF(B4=C4,"PASS","REVIEW")</f>
        <v>PASS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