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mpaign_Data" sheetId="1" state="visible" r:id="rId3"/>
    <sheet name="Monthly" sheetId="2" state="visible" r:id="rId4"/>
    <sheet name="Channels" sheetId="3" state="visible" r:id="rId5"/>
    <sheet name="HR_Readiness" sheetId="4" state="visible" r:id="rId6"/>
    <sheet name="Dashboard" sheetId="5" state="visible" r:id="rId7"/>
    <sheet name="Action_Regist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<sst xmlns="http://schemas.openxmlformats.org/spreadsheetml/2006/main" count="578" uniqueCount="177">
  <si>
    <t xml:space="preserve">Record_ID</t>
  </si>
  <si>
    <t xml:space="preserve">Month</t>
  </si>
  <si>
    <t xml:space="preserve">Region</t>
  </si>
  <si>
    <t xml:space="preserve">Channel</t>
  </si>
  <si>
    <t xml:space="preserve">Product</t>
  </si>
  <si>
    <t xml:space="preserve">Impressions</t>
  </si>
  <si>
    <t xml:space="preserve">Clicks</t>
  </si>
  <si>
    <t xml:space="preserve">Orders</t>
  </si>
  <si>
    <t xml:space="preserve">Revenue</t>
  </si>
  <si>
    <t xml:space="preserve">Cost</t>
  </si>
  <si>
    <t xml:space="preserve">Returns</t>
  </si>
  <si>
    <t xml:space="preserve">Target_Revenue</t>
  </si>
  <si>
    <t xml:space="preserve">CMP-0001</t>
  </si>
  <si>
    <t xml:space="preserve">Jan</t>
  </si>
  <si>
    <t xml:space="preserve">North</t>
  </si>
  <si>
    <t xml:space="preserve">Web</t>
  </si>
  <si>
    <t xml:space="preserve">Ergo Desk</t>
  </si>
  <si>
    <t xml:space="preserve">CMP-0002</t>
  </si>
  <si>
    <t xml:space="preserve">Feb</t>
  </si>
  <si>
    <t xml:space="preserve">CMP-0003</t>
  </si>
  <si>
    <t xml:space="preserve">Mar</t>
  </si>
  <si>
    <t xml:space="preserve">CMP-0004</t>
  </si>
  <si>
    <t xml:space="preserve">Apr</t>
  </si>
  <si>
    <t xml:space="preserve">South</t>
  </si>
  <si>
    <t xml:space="preserve">CMP-0005</t>
  </si>
  <si>
    <t xml:space="preserve">May</t>
  </si>
  <si>
    <t xml:space="preserve">CMP-0006</t>
  </si>
  <si>
    <t xml:space="preserve">Jun</t>
  </si>
  <si>
    <t xml:space="preserve">Partner</t>
  </si>
  <si>
    <t xml:space="preserve">CMP-0007</t>
  </si>
  <si>
    <t xml:space="preserve">East</t>
  </si>
  <si>
    <t xml:space="preserve">CMP-0008</t>
  </si>
  <si>
    <t xml:space="preserve">Task Chair</t>
  </si>
  <si>
    <t xml:space="preserve">CMP-0009</t>
  </si>
  <si>
    <t xml:space="preserve">CMP-0010</t>
  </si>
  <si>
    <t xml:space="preserve">West</t>
  </si>
  <si>
    <t xml:space="preserve">CMP-0011</t>
  </si>
  <si>
    <t xml:space="preserve">Retail</t>
  </si>
  <si>
    <t xml:space="preserve">CMP-0012</t>
  </si>
  <si>
    <t xml:space="preserve">CMP-0013</t>
  </si>
  <si>
    <t xml:space="preserve">CMP-0014</t>
  </si>
  <si>
    <t xml:space="preserve">CMP-0015</t>
  </si>
  <si>
    <t xml:space="preserve">Smart Lamp</t>
  </si>
  <si>
    <t xml:space="preserve">CMP-0016</t>
  </si>
  <si>
    <t xml:space="preserve">Events</t>
  </si>
  <si>
    <t xml:space="preserve">CMP-0017</t>
  </si>
  <si>
    <t xml:space="preserve">CMP-0018</t>
  </si>
  <si>
    <t xml:space="preserve">CMP-0019</t>
  </si>
  <si>
    <t xml:space="preserve">CMP-0020</t>
  </si>
  <si>
    <t xml:space="preserve">CMP-0021</t>
  </si>
  <si>
    <t xml:space="preserve">CMP-0022</t>
  </si>
  <si>
    <t xml:space="preserve">Air Purifier</t>
  </si>
  <si>
    <t xml:space="preserve">CMP-0023</t>
  </si>
  <si>
    <t xml:space="preserve">CMP-0024</t>
  </si>
  <si>
    <t xml:space="preserve">CMP-0025</t>
  </si>
  <si>
    <t xml:space="preserve">CMP-0026</t>
  </si>
  <si>
    <t xml:space="preserve">CMP-0027</t>
  </si>
  <si>
    <t xml:space="preserve">CMP-0028</t>
  </si>
  <si>
    <t xml:space="preserve">CMP-0029</t>
  </si>
  <si>
    <t xml:space="preserve">CMP-0030</t>
  </si>
  <si>
    <t xml:space="preserve">CMP-0031</t>
  </si>
  <si>
    <t xml:space="preserve">CMP-0032</t>
  </si>
  <si>
    <t xml:space="preserve">CMP-0033</t>
  </si>
  <si>
    <t xml:space="preserve">CMP-0034</t>
  </si>
  <si>
    <t xml:space="preserve">CMP-0035</t>
  </si>
  <si>
    <t xml:space="preserve">CMP-0036</t>
  </si>
  <si>
    <t xml:space="preserve">CMP-0037</t>
  </si>
  <si>
    <t xml:space="preserve">CMP-0038</t>
  </si>
  <si>
    <t xml:space="preserve">CMP-0039</t>
  </si>
  <si>
    <t xml:space="preserve">CMP-0040</t>
  </si>
  <si>
    <t xml:space="preserve">CMP-0041</t>
  </si>
  <si>
    <t xml:space="preserve">CMP-0042</t>
  </si>
  <si>
    <t xml:space="preserve">CMP-0043</t>
  </si>
  <si>
    <t xml:space="preserve">CMP-0044</t>
  </si>
  <si>
    <t xml:space="preserve">CMP-0045</t>
  </si>
  <si>
    <t xml:space="preserve">CMP-0046</t>
  </si>
  <si>
    <t xml:space="preserve">CMP-0047</t>
  </si>
  <si>
    <t xml:space="preserve">CMP-0048</t>
  </si>
  <si>
    <t xml:space="preserve">CMP-0049</t>
  </si>
  <si>
    <t xml:space="preserve">CMP-0050</t>
  </si>
  <si>
    <t xml:space="preserve">CMP-0051</t>
  </si>
  <si>
    <t xml:space="preserve">CMP-0052</t>
  </si>
  <si>
    <t xml:space="preserve">CMP-0053</t>
  </si>
  <si>
    <t xml:space="preserve">CMP-0054</t>
  </si>
  <si>
    <t xml:space="preserve">CMP-0055</t>
  </si>
  <si>
    <t xml:space="preserve">CMP-0056</t>
  </si>
  <si>
    <t xml:space="preserve">CMP-0057</t>
  </si>
  <si>
    <t xml:space="preserve">CMP-0058</t>
  </si>
  <si>
    <t xml:space="preserve">CMP-0059</t>
  </si>
  <si>
    <t xml:space="preserve">CMP-0060</t>
  </si>
  <si>
    <t xml:space="preserve">CMP-0061</t>
  </si>
  <si>
    <t xml:space="preserve">CMP-0062</t>
  </si>
  <si>
    <t xml:space="preserve">CMP-0063</t>
  </si>
  <si>
    <t xml:space="preserve">CMP-0064</t>
  </si>
  <si>
    <t xml:space="preserve">CMP-0065</t>
  </si>
  <si>
    <t xml:space="preserve">CMP-0066</t>
  </si>
  <si>
    <t xml:space="preserve">CMP-0067</t>
  </si>
  <si>
    <t xml:space="preserve">CMP-0068</t>
  </si>
  <si>
    <t xml:space="preserve">CMP-0069</t>
  </si>
  <si>
    <t xml:space="preserve">CMP-0070</t>
  </si>
  <si>
    <t xml:space="preserve">CMP-0071</t>
  </si>
  <si>
    <t xml:space="preserve">CMP-0072</t>
  </si>
  <si>
    <t xml:space="preserve">CMP-0073</t>
  </si>
  <si>
    <t xml:space="preserve">CMP-0074</t>
  </si>
  <si>
    <t xml:space="preserve">CMP-0075</t>
  </si>
  <si>
    <t xml:space="preserve">CMP-0076</t>
  </si>
  <si>
    <t xml:space="preserve">CMP-0077</t>
  </si>
  <si>
    <t xml:space="preserve">CMP-0078</t>
  </si>
  <si>
    <t xml:space="preserve">CMP-0079</t>
  </si>
  <si>
    <t xml:space="preserve">CMP-0080</t>
  </si>
  <si>
    <t xml:space="preserve">CMP-0081</t>
  </si>
  <si>
    <t xml:space="preserve">CMP-0082</t>
  </si>
  <si>
    <t xml:space="preserve">CMP-0083</t>
  </si>
  <si>
    <t xml:space="preserve">CMP-0084</t>
  </si>
  <si>
    <t xml:space="preserve">CMP-0085</t>
  </si>
  <si>
    <t xml:space="preserve">CMP-0086</t>
  </si>
  <si>
    <t xml:space="preserve">CMP-0087</t>
  </si>
  <si>
    <t xml:space="preserve">CMP-0088</t>
  </si>
  <si>
    <t xml:space="preserve">CMP-0089</t>
  </si>
  <si>
    <t xml:space="preserve">CMP-0090</t>
  </si>
  <si>
    <t xml:space="preserve">CMP-0091</t>
  </si>
  <si>
    <t xml:space="preserve">CMP-0092</t>
  </si>
  <si>
    <t xml:space="preserve">CMP-0093</t>
  </si>
  <si>
    <t xml:space="preserve">CMP-0094</t>
  </si>
  <si>
    <t xml:space="preserve">CMP-0095</t>
  </si>
  <si>
    <t xml:space="preserve">CMP-0096</t>
  </si>
  <si>
    <t xml:space="preserve">Revenue_SGD</t>
  </si>
  <si>
    <t xml:space="preserve">Cost_SGD</t>
  </si>
  <si>
    <t xml:space="preserve">Margin_SGD</t>
  </si>
  <si>
    <t xml:space="preserve">Department</t>
  </si>
  <si>
    <t xml:space="preserve">Assigned</t>
  </si>
  <si>
    <t xml:space="preserve">Trained</t>
  </si>
  <si>
    <t xml:space="preserve">Outstanding</t>
  </si>
  <si>
    <t xml:space="preserve">Completion</t>
  </si>
  <si>
    <t xml:space="preserve">HR</t>
  </si>
  <si>
    <t xml:space="preserve">Marketing</t>
  </si>
  <si>
    <t xml:space="preserve">Finance</t>
  </si>
  <si>
    <t xml:space="preserve">Operations</t>
  </si>
  <si>
    <t xml:space="preserve">Total</t>
  </si>
  <si>
    <t xml:space="preserve">Metric</t>
  </si>
  <si>
    <t xml:space="preserve">Value</t>
  </si>
  <si>
    <t xml:space="preserve">Source</t>
  </si>
  <si>
    <t xml:space="preserve">96 records Jan–Jun2026</t>
  </si>
  <si>
    <t xml:space="preserve">Campaign_Data J2:J97</t>
  </si>
  <si>
    <t xml:space="preserve">Revenue minus cost, not net profit</t>
  </si>
  <si>
    <t xml:space="preserve">Training_completion</t>
  </si>
  <si>
    <t xml:space="preserve">47 of56 staff; simulated7Sep</t>
  </si>
  <si>
    <t xml:space="preserve">Record_count</t>
  </si>
  <si>
    <t xml:space="preserve">Expected96</t>
  </si>
  <si>
    <t xml:space="preserve">Action_ID</t>
  </si>
  <si>
    <t xml:space="preserve">Project_ID</t>
  </si>
  <si>
    <t xml:space="preserve">Action</t>
  </si>
  <si>
    <t xml:space="preserve">Owner</t>
  </si>
  <si>
    <t xml:space="preserve">Due_date</t>
  </si>
  <si>
    <t xml:space="preserve">Status</t>
  </si>
  <si>
    <t xml:space="preserve">Evidence</t>
  </si>
  <si>
    <t xml:space="preserve">Last_review</t>
  </si>
  <si>
    <t xml:space="preserve">A01</t>
  </si>
  <si>
    <t xml:space="preserve">SW-2026</t>
  </si>
  <si>
    <t xml:space="preserve">Train nine remaining staff</t>
  </si>
  <si>
    <t xml:space="preserve">Aisha Tan</t>
  </si>
  <si>
    <t xml:space="preserve">2026-09-24</t>
  </si>
  <si>
    <t xml:space="preserve">In progress</t>
  </si>
  <si>
    <t xml:space="preserve">Learner to add actual artifact link</t>
  </si>
  <si>
    <t xml:space="preserve">2026-09-07</t>
  </si>
  <si>
    <t xml:space="preserve">A02</t>
  </si>
  <si>
    <t xml:space="preserve">Review claims and launch copy</t>
  </si>
  <si>
    <t xml:space="preserve">Daniel Lim</t>
  </si>
  <si>
    <t xml:space="preserve">2026-09-23</t>
  </si>
  <si>
    <t xml:space="preserve">Open</t>
  </si>
  <si>
    <t xml:space="preserve">A03</t>
  </si>
  <si>
    <t xml:space="preserve">Review budget and calculation evidence</t>
  </si>
  <si>
    <t xml:space="preserve">Mei Chen</t>
  </si>
  <si>
    <t xml:space="preserve">2026-09-25</t>
  </si>
  <si>
    <t xml:space="preserve">A04</t>
  </si>
  <si>
    <t xml:space="preserve">Check damaged-item routing and readiness</t>
  </si>
  <si>
    <t xml:space="preserve">Harish Rao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</si>
</sst>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Historical 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Monthly!B1</c:f>
              <c:strCache>
                <c:ptCount val="1"/>
                <c:pt idx="0">
                  <c:v>Revenue_SGD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Monthly!$B$2:$B$7</c:f>
              <c:numCache>
                <c:formatCode>#,##0.00</c:formatCode>
                <c:ptCount val="6"/>
                <c:pt idx="0">
                  <c:v>90150</c:v>
                </c:pt>
                <c:pt idx="1">
                  <c:v>145565</c:v>
                </c:pt>
                <c:pt idx="2">
                  <c:v>130880</c:v>
                </c:pt>
                <c:pt idx="3">
                  <c:v>189070</c:v>
                </c:pt>
                <c:pt idx="4">
                  <c:v>159920</c:v>
                </c:pt>
                <c:pt idx="5">
                  <c:v>217705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832733"/>
        <c:axId val="11215683"/>
      </c:lineChart>
      <c:catAx>
        <c:axId val="73832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215683"/>
        <c:crosses val="autoZero"/>
        <c:auto val="1"/>
        <c:lblAlgn val="ctr"/>
        <c:lblOffset val="100"/>
        <c:noMultiLvlLbl val="0"/>
      </c:catAx>
      <c:valAx>
        <c:axId val="11215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8327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Margin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Channels!D1</c:f>
              <c:strCache>
                <c:ptCount val="1"/>
                <c:pt idx="0">
                  <c:v>Margin_SGD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Channels!$A$2:$A$5</c:f>
              <c:strCache>
                <c:ptCount val="4"/>
                <c:pt idx="0">
                  <c:v>Web</c:v>
                </c:pt>
                <c:pt idx="1">
                  <c:v>Partner</c:v>
                </c:pt>
                <c:pt idx="2">
                  <c:v>Retail</c:v>
                </c:pt>
                <c:pt idx="3">
                  <c:v>Events</c:v>
                </c:pt>
              </c:strCache>
            </c:strRef>
          </c:cat>
          <c:val>
            <c:numRef>
              <c:f>Channels!$D$2:$D$5</c:f>
              <c:numCache>
                <c:formatCode>#,##0.00</c:formatCode>
                <c:ptCount val="4"/>
                <c:pt idx="0">
                  <c:v>84544.39</c:v>
                </c:pt>
                <c:pt idx="1">
                  <c:v>94989.66</c:v>
                </c:pt>
                <c:pt idx="2">
                  <c:v>111411.32</c:v>
                </c:pt>
                <c:pt idx="3">
                  <c:v>121247.22</c:v>
                </c:pt>
              </c:numCache>
            </c:numRef>
          </c:val>
        </c:ser>
        <c:gapWidth val="150"/>
        <c:overlap val="0"/>
        <c:axId val="62694620"/>
        <c:axId val="68137132"/>
      </c:barChart>
      <c:catAx>
        <c:axId val="62694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137132"/>
        <c:crosses val="autoZero"/>
        <c:auto val="1"/>
        <c:lblAlgn val="ctr"/>
        <c:lblOffset val="100"/>
        <c:noMultiLvlLbl val="0"/>
      </c:catAx>
      <c:valAx>
        <c:axId val="68137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6946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Staff training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HR_Readiness!E1</c:f>
              <c:strCache>
                <c:ptCount val="1"/>
                <c:pt idx="0">
                  <c:v>Completion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HR_Readiness!$A$2:$A$5</c:f>
              <c:strCache>
                <c:ptCount val="4"/>
                <c:pt idx="0">
                  <c:v>HR</c:v>
                </c:pt>
                <c:pt idx="1">
                  <c:v>Marketing</c:v>
                </c:pt>
                <c:pt idx="2">
                  <c:v>Finance</c:v>
                </c:pt>
                <c:pt idx="3">
                  <c:v>Operations</c:v>
                </c:pt>
              </c:strCache>
            </c:strRef>
          </c:cat>
          <c:val>
            <c:numRef>
              <c:f>HR_Readiness!$E$2:$E$5</c:f>
              <c:numCache>
                <c:formatCode>0.0%</c:formatCode>
                <c:ptCount val="4"/>
                <c:pt idx="0">
                  <c:v>0.833333333333333</c:v>
                </c:pt>
                <c:pt idx="1">
                  <c:v>0.875</c:v>
                </c:pt>
                <c:pt idx="2">
                  <c:v>1</c:v>
                </c:pt>
                <c:pt idx="3">
                  <c:v>0.75</c:v>
                </c:pt>
              </c:numCache>
            </c:numRef>
          </c:val>
        </c:ser>
        <c:gapWidth val="150"/>
        <c:overlap val="0"/>
        <c:axId val="22571923"/>
        <c:axId val="61567412"/>
      </c:barChart>
      <c:catAx>
        <c:axId val="22571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567412"/>
        <c:crosses val="autoZero"/>
        <c:auto val="1"/>
        <c:lblAlgn val="ctr"/>
        <c:lblOffset val="100"/>
        <c:noMultiLvlLbl val="0"/>
      </c:catAx>
      <c:valAx>
        <c:axId val="61567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5719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4680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7378200" y="190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4680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7378200" y="190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4680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9069840" y="190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mpaign" displayName="tblCampaign" ref="A1:L97" headerRowCount="1" totalsRowCount="0" totalsRowShown="0">
  <autoFilter ref="A1:L97"/>
  <tableColumns count="12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n">
        <v>3500</v>
      </c>
      <c r="G2" s="2" t="n">
        <v>122</v>
      </c>
      <c r="H2" s="2" t="n">
        <v>10</v>
      </c>
      <c r="I2" s="2" t="n">
        <v>1500</v>
      </c>
      <c r="J2" s="2" t="n">
        <v>765</v>
      </c>
      <c r="K2" s="2" t="n">
        <v>0</v>
      </c>
      <c r="L2" s="2" t="n">
        <v>8500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14</v>
      </c>
      <c r="D3" s="2" t="s">
        <v>15</v>
      </c>
      <c r="E3" s="2" t="s">
        <v>16</v>
      </c>
      <c r="F3" s="2" t="n">
        <v>3673</v>
      </c>
      <c r="G3" s="2" t="n">
        <v>150</v>
      </c>
      <c r="H3" s="2" t="n">
        <v>15</v>
      </c>
      <c r="I3" s="2" t="n">
        <v>3225</v>
      </c>
      <c r="J3" s="2" t="n">
        <v>1789.88</v>
      </c>
      <c r="K3" s="2" t="n">
        <v>3</v>
      </c>
      <c r="L3" s="2" t="n">
        <v>10300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14</v>
      </c>
      <c r="D4" s="2" t="s">
        <v>15</v>
      </c>
      <c r="E4" s="2" t="s">
        <v>16</v>
      </c>
      <c r="F4" s="2" t="n">
        <v>3846</v>
      </c>
      <c r="G4" s="2" t="n">
        <v>180</v>
      </c>
      <c r="H4" s="2" t="n">
        <v>21</v>
      </c>
      <c r="I4" s="2" t="n">
        <v>5880</v>
      </c>
      <c r="J4" s="2" t="n">
        <v>3528</v>
      </c>
      <c r="K4" s="2" t="n">
        <v>6</v>
      </c>
      <c r="L4" s="2" t="n">
        <v>12100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15</v>
      </c>
      <c r="E5" s="2" t="s">
        <v>16</v>
      </c>
      <c r="F5" s="2" t="n">
        <v>4019</v>
      </c>
      <c r="G5" s="2" t="n">
        <v>213</v>
      </c>
      <c r="H5" s="2" t="n">
        <v>28</v>
      </c>
      <c r="I5" s="2" t="n">
        <v>9660</v>
      </c>
      <c r="J5" s="2" t="n">
        <v>4926.6</v>
      </c>
      <c r="K5" s="2" t="n">
        <v>9</v>
      </c>
      <c r="L5" s="2" t="n">
        <v>13900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23</v>
      </c>
      <c r="D6" s="2" t="s">
        <v>15</v>
      </c>
      <c r="E6" s="2" t="s">
        <v>16</v>
      </c>
      <c r="F6" s="2" t="n">
        <v>4192</v>
      </c>
      <c r="G6" s="2" t="n">
        <v>247</v>
      </c>
      <c r="H6" s="2" t="n">
        <v>37</v>
      </c>
      <c r="I6" s="2" t="n">
        <v>5550</v>
      </c>
      <c r="J6" s="2" t="n">
        <v>3080.25</v>
      </c>
      <c r="K6" s="2" t="n">
        <v>12</v>
      </c>
      <c r="L6" s="2" t="n">
        <v>8500</v>
      </c>
    </row>
    <row r="7" customFormat="false" ht="15" hidden="false" customHeight="false" outlineLevel="0" collapsed="false">
      <c r="A7" s="2" t="s">
        <v>26</v>
      </c>
      <c r="B7" s="2" t="s">
        <v>27</v>
      </c>
      <c r="C7" s="2" t="s">
        <v>23</v>
      </c>
      <c r="D7" s="2" t="s">
        <v>28</v>
      </c>
      <c r="E7" s="2" t="s">
        <v>16</v>
      </c>
      <c r="F7" s="2" t="n">
        <v>4365</v>
      </c>
      <c r="G7" s="2" t="n">
        <v>283</v>
      </c>
      <c r="H7" s="2" t="n">
        <v>25</v>
      </c>
      <c r="I7" s="2" t="n">
        <v>5375</v>
      </c>
      <c r="J7" s="2" t="n">
        <v>3225</v>
      </c>
      <c r="K7" s="2" t="n">
        <v>6</v>
      </c>
      <c r="L7" s="2" t="n">
        <v>10300</v>
      </c>
    </row>
    <row r="8" customFormat="false" ht="15" hidden="false" customHeight="false" outlineLevel="0" collapsed="false">
      <c r="A8" s="2" t="s">
        <v>29</v>
      </c>
      <c r="B8" s="2" t="s">
        <v>13</v>
      </c>
      <c r="C8" s="2" t="s">
        <v>30</v>
      </c>
      <c r="D8" s="2" t="s">
        <v>28</v>
      </c>
      <c r="E8" s="2" t="s">
        <v>16</v>
      </c>
      <c r="F8" s="2" t="n">
        <v>4538</v>
      </c>
      <c r="G8" s="2" t="n">
        <v>158</v>
      </c>
      <c r="H8" s="2" t="n">
        <v>16</v>
      </c>
      <c r="I8" s="2" t="n">
        <v>4480</v>
      </c>
      <c r="J8" s="2" t="n">
        <v>2284.8</v>
      </c>
      <c r="K8" s="2" t="n">
        <v>0</v>
      </c>
      <c r="L8" s="2" t="n">
        <v>12100</v>
      </c>
    </row>
    <row r="9" customFormat="false" ht="15" hidden="false" customHeight="false" outlineLevel="0" collapsed="false">
      <c r="A9" s="2" t="s">
        <v>31</v>
      </c>
      <c r="B9" s="2" t="s">
        <v>18</v>
      </c>
      <c r="C9" s="2" t="s">
        <v>30</v>
      </c>
      <c r="D9" s="2" t="s">
        <v>28</v>
      </c>
      <c r="E9" s="2" t="s">
        <v>32</v>
      </c>
      <c r="F9" s="2" t="n">
        <v>4711</v>
      </c>
      <c r="G9" s="2" t="n">
        <v>193</v>
      </c>
      <c r="H9" s="2" t="n">
        <v>23</v>
      </c>
      <c r="I9" s="2" t="n">
        <v>7935</v>
      </c>
      <c r="J9" s="2" t="n">
        <v>4403.93</v>
      </c>
      <c r="K9" s="2" t="n">
        <v>5</v>
      </c>
      <c r="L9" s="2" t="n">
        <v>13900</v>
      </c>
    </row>
    <row r="10" customFormat="false" ht="15" hidden="false" customHeight="false" outlineLevel="0" collapsed="false">
      <c r="A10" s="2" t="s">
        <v>33</v>
      </c>
      <c r="B10" s="2" t="s">
        <v>20</v>
      </c>
      <c r="C10" s="2" t="s">
        <v>30</v>
      </c>
      <c r="D10" s="2" t="s">
        <v>28</v>
      </c>
      <c r="E10" s="2" t="s">
        <v>32</v>
      </c>
      <c r="F10" s="2" t="n">
        <v>4884</v>
      </c>
      <c r="G10" s="2" t="n">
        <v>229</v>
      </c>
      <c r="H10" s="2" t="n">
        <v>30</v>
      </c>
      <c r="I10" s="2" t="n">
        <v>4500</v>
      </c>
      <c r="J10" s="2" t="n">
        <v>2700</v>
      </c>
      <c r="K10" s="2" t="n">
        <v>2</v>
      </c>
      <c r="L10" s="2" t="n">
        <v>8500</v>
      </c>
    </row>
    <row r="11" customFormat="false" ht="15" hidden="false" customHeight="false" outlineLevel="0" collapsed="false">
      <c r="A11" s="2" t="s">
        <v>34</v>
      </c>
      <c r="B11" s="2" t="s">
        <v>22</v>
      </c>
      <c r="C11" s="2" t="s">
        <v>35</v>
      </c>
      <c r="D11" s="2" t="s">
        <v>28</v>
      </c>
      <c r="E11" s="2" t="s">
        <v>32</v>
      </c>
      <c r="F11" s="2" t="n">
        <v>5057</v>
      </c>
      <c r="G11" s="2" t="n">
        <v>268</v>
      </c>
      <c r="H11" s="2" t="n">
        <v>40</v>
      </c>
      <c r="I11" s="2" t="n">
        <v>8600</v>
      </c>
      <c r="J11" s="2" t="n">
        <v>4386</v>
      </c>
      <c r="K11" s="2" t="n">
        <v>13</v>
      </c>
      <c r="L11" s="2" t="n">
        <v>10300</v>
      </c>
    </row>
    <row r="12" customFormat="false" ht="15" hidden="false" customHeight="false" outlineLevel="0" collapsed="false">
      <c r="A12" s="2" t="s">
        <v>36</v>
      </c>
      <c r="B12" s="2" t="s">
        <v>25</v>
      </c>
      <c r="C12" s="2" t="s">
        <v>35</v>
      </c>
      <c r="D12" s="2" t="s">
        <v>37</v>
      </c>
      <c r="E12" s="2" t="s">
        <v>32</v>
      </c>
      <c r="F12" s="2" t="n">
        <v>5230</v>
      </c>
      <c r="G12" s="2" t="n">
        <v>308</v>
      </c>
      <c r="H12" s="2" t="n">
        <v>27</v>
      </c>
      <c r="I12" s="2" t="n">
        <v>7560</v>
      </c>
      <c r="J12" s="2" t="n">
        <v>4195.8</v>
      </c>
      <c r="K12" s="2" t="n">
        <v>0</v>
      </c>
      <c r="L12" s="2" t="n">
        <v>12100</v>
      </c>
    </row>
    <row r="13" customFormat="false" ht="15" hidden="false" customHeight="false" outlineLevel="0" collapsed="false">
      <c r="A13" s="2" t="s">
        <v>38</v>
      </c>
      <c r="B13" s="2" t="s">
        <v>27</v>
      </c>
      <c r="C13" s="2" t="s">
        <v>35</v>
      </c>
      <c r="D13" s="2" t="s">
        <v>37</v>
      </c>
      <c r="E13" s="2" t="s">
        <v>32</v>
      </c>
      <c r="F13" s="2" t="n">
        <v>5403</v>
      </c>
      <c r="G13" s="2" t="n">
        <v>351</v>
      </c>
      <c r="H13" s="2" t="n">
        <v>36</v>
      </c>
      <c r="I13" s="2" t="n">
        <v>12420</v>
      </c>
      <c r="J13" s="2" t="n">
        <v>7452</v>
      </c>
      <c r="K13" s="2" t="n">
        <v>7</v>
      </c>
      <c r="L13" s="2" t="n">
        <v>13900</v>
      </c>
    </row>
    <row r="14" customFormat="false" ht="15" hidden="false" customHeight="false" outlineLevel="0" collapsed="false">
      <c r="A14" s="2" t="s">
        <v>39</v>
      </c>
      <c r="B14" s="2" t="s">
        <v>13</v>
      </c>
      <c r="C14" s="2" t="s">
        <v>14</v>
      </c>
      <c r="D14" s="2" t="s">
        <v>37</v>
      </c>
      <c r="E14" s="2" t="s">
        <v>32</v>
      </c>
      <c r="F14" s="2" t="n">
        <v>5576</v>
      </c>
      <c r="G14" s="2" t="n">
        <v>195</v>
      </c>
      <c r="H14" s="2" t="n">
        <v>23</v>
      </c>
      <c r="I14" s="2" t="n">
        <v>3450</v>
      </c>
      <c r="J14" s="2" t="n">
        <v>1759.5</v>
      </c>
      <c r="K14" s="2" t="n">
        <v>4</v>
      </c>
      <c r="L14" s="2" t="n">
        <v>8500</v>
      </c>
    </row>
    <row r="15" customFormat="false" ht="15" hidden="false" customHeight="false" outlineLevel="0" collapsed="false">
      <c r="A15" s="2" t="s">
        <v>40</v>
      </c>
      <c r="B15" s="2" t="s">
        <v>18</v>
      </c>
      <c r="C15" s="2" t="s">
        <v>14</v>
      </c>
      <c r="D15" s="2" t="s">
        <v>37</v>
      </c>
      <c r="E15" s="2" t="s">
        <v>32</v>
      </c>
      <c r="F15" s="2" t="n">
        <v>5749</v>
      </c>
      <c r="G15" s="2" t="n">
        <v>235</v>
      </c>
      <c r="H15" s="2" t="n">
        <v>31</v>
      </c>
      <c r="I15" s="2" t="n">
        <v>6665</v>
      </c>
      <c r="J15" s="2" t="n">
        <v>3699.08</v>
      </c>
      <c r="K15" s="2" t="n">
        <v>6</v>
      </c>
      <c r="L15" s="2" t="n">
        <v>10300</v>
      </c>
    </row>
    <row r="16" customFormat="false" ht="15" hidden="false" customHeight="false" outlineLevel="0" collapsed="false">
      <c r="A16" s="2" t="s">
        <v>41</v>
      </c>
      <c r="B16" s="2" t="s">
        <v>20</v>
      </c>
      <c r="C16" s="2" t="s">
        <v>14</v>
      </c>
      <c r="D16" s="2" t="s">
        <v>37</v>
      </c>
      <c r="E16" s="2" t="s">
        <v>42</v>
      </c>
      <c r="F16" s="2" t="n">
        <v>5922</v>
      </c>
      <c r="G16" s="2" t="n">
        <v>278</v>
      </c>
      <c r="H16" s="2" t="n">
        <v>41</v>
      </c>
      <c r="I16" s="2" t="n">
        <v>11480</v>
      </c>
      <c r="J16" s="2" t="n">
        <v>6888</v>
      </c>
      <c r="K16" s="2" t="n">
        <v>0</v>
      </c>
      <c r="L16" s="2" t="n">
        <v>12100</v>
      </c>
    </row>
    <row r="17" customFormat="false" ht="15" hidden="false" customHeight="false" outlineLevel="0" collapsed="false">
      <c r="A17" s="2" t="s">
        <v>43</v>
      </c>
      <c r="B17" s="2" t="s">
        <v>22</v>
      </c>
      <c r="C17" s="2" t="s">
        <v>23</v>
      </c>
      <c r="D17" s="2" t="s">
        <v>44</v>
      </c>
      <c r="E17" s="2" t="s">
        <v>42</v>
      </c>
      <c r="F17" s="2" t="n">
        <v>6095</v>
      </c>
      <c r="G17" s="2" t="n">
        <v>323</v>
      </c>
      <c r="H17" s="2" t="n">
        <v>29</v>
      </c>
      <c r="I17" s="2" t="n">
        <v>10005</v>
      </c>
      <c r="J17" s="2" t="n">
        <v>5102.55</v>
      </c>
      <c r="K17" s="2" t="n">
        <v>5</v>
      </c>
      <c r="L17" s="2" t="n">
        <v>13900</v>
      </c>
    </row>
    <row r="18" customFormat="false" ht="15" hidden="false" customHeight="false" outlineLevel="0" collapsed="false">
      <c r="A18" s="2" t="s">
        <v>45</v>
      </c>
      <c r="B18" s="2" t="s">
        <v>25</v>
      </c>
      <c r="C18" s="2" t="s">
        <v>23</v>
      </c>
      <c r="D18" s="2" t="s">
        <v>44</v>
      </c>
      <c r="E18" s="2" t="s">
        <v>42</v>
      </c>
      <c r="F18" s="2" t="n">
        <v>6268</v>
      </c>
      <c r="G18" s="2" t="n">
        <v>369</v>
      </c>
      <c r="H18" s="2" t="n">
        <v>38</v>
      </c>
      <c r="I18" s="2" t="n">
        <v>5700</v>
      </c>
      <c r="J18" s="2" t="n">
        <v>3163.5</v>
      </c>
      <c r="K18" s="2" t="n">
        <v>9</v>
      </c>
      <c r="L18" s="2" t="n">
        <v>8500</v>
      </c>
    </row>
    <row r="19" customFormat="false" ht="15" hidden="false" customHeight="false" outlineLevel="0" collapsed="false">
      <c r="A19" s="2" t="s">
        <v>46</v>
      </c>
      <c r="B19" s="2" t="s">
        <v>27</v>
      </c>
      <c r="C19" s="2" t="s">
        <v>23</v>
      </c>
      <c r="D19" s="2" t="s">
        <v>44</v>
      </c>
      <c r="E19" s="2" t="s">
        <v>42</v>
      </c>
      <c r="F19" s="2" t="n">
        <v>6441</v>
      </c>
      <c r="G19" s="2" t="n">
        <v>418</v>
      </c>
      <c r="H19" s="2" t="n">
        <v>50</v>
      </c>
      <c r="I19" s="2" t="n">
        <v>10750</v>
      </c>
      <c r="J19" s="2" t="n">
        <v>6450</v>
      </c>
      <c r="K19" s="2" t="n">
        <v>0</v>
      </c>
      <c r="L19" s="2" t="n">
        <v>10300</v>
      </c>
    </row>
    <row r="20" customFormat="false" ht="15" hidden="false" customHeight="false" outlineLevel="0" collapsed="false">
      <c r="A20" s="2" t="s">
        <v>47</v>
      </c>
      <c r="B20" s="2" t="s">
        <v>13</v>
      </c>
      <c r="C20" s="2" t="s">
        <v>30</v>
      </c>
      <c r="D20" s="2" t="s">
        <v>44</v>
      </c>
      <c r="E20" s="2" t="s">
        <v>42</v>
      </c>
      <c r="F20" s="2" t="n">
        <v>6614</v>
      </c>
      <c r="G20" s="2" t="n">
        <v>231</v>
      </c>
      <c r="H20" s="2" t="n">
        <v>31</v>
      </c>
      <c r="I20" s="2" t="n">
        <v>8680</v>
      </c>
      <c r="J20" s="2" t="n">
        <v>4426.8</v>
      </c>
      <c r="K20" s="2" t="n">
        <v>10</v>
      </c>
      <c r="L20" s="2" t="n">
        <v>12100</v>
      </c>
    </row>
    <row r="21" customFormat="false" ht="15" hidden="false" customHeight="false" outlineLevel="0" collapsed="false">
      <c r="A21" s="2" t="s">
        <v>48</v>
      </c>
      <c r="B21" s="2" t="s">
        <v>18</v>
      </c>
      <c r="C21" s="2" t="s">
        <v>30</v>
      </c>
      <c r="D21" s="2" t="s">
        <v>44</v>
      </c>
      <c r="E21" s="2" t="s">
        <v>42</v>
      </c>
      <c r="F21" s="2" t="n">
        <v>6787</v>
      </c>
      <c r="G21" s="2" t="n">
        <v>278</v>
      </c>
      <c r="H21" s="2" t="n">
        <v>41</v>
      </c>
      <c r="I21" s="2" t="n">
        <v>14145</v>
      </c>
      <c r="J21" s="2" t="n">
        <v>7850.48</v>
      </c>
      <c r="K21" s="2" t="n">
        <v>1</v>
      </c>
      <c r="L21" s="2" t="n">
        <v>13900</v>
      </c>
    </row>
    <row r="22" customFormat="false" ht="15" hidden="false" customHeight="false" outlineLevel="0" collapsed="false">
      <c r="A22" s="2" t="s">
        <v>49</v>
      </c>
      <c r="B22" s="2" t="s">
        <v>20</v>
      </c>
      <c r="C22" s="2" t="s">
        <v>30</v>
      </c>
      <c r="D22" s="2" t="s">
        <v>15</v>
      </c>
      <c r="E22" s="2" t="s">
        <v>42</v>
      </c>
      <c r="F22" s="2" t="n">
        <v>6960</v>
      </c>
      <c r="G22" s="2" t="n">
        <v>327</v>
      </c>
      <c r="H22" s="2" t="n">
        <v>29</v>
      </c>
      <c r="I22" s="2" t="n">
        <v>4350</v>
      </c>
      <c r="J22" s="2" t="n">
        <v>2610</v>
      </c>
      <c r="K22" s="2" t="n">
        <v>0</v>
      </c>
      <c r="L22" s="2" t="n">
        <v>8500</v>
      </c>
    </row>
    <row r="23" customFormat="false" ht="15" hidden="false" customHeight="false" outlineLevel="0" collapsed="false">
      <c r="A23" s="2" t="s">
        <v>50</v>
      </c>
      <c r="B23" s="2" t="s">
        <v>22</v>
      </c>
      <c r="C23" s="2" t="s">
        <v>35</v>
      </c>
      <c r="D23" s="2" t="s">
        <v>15</v>
      </c>
      <c r="E23" s="2" t="s">
        <v>51</v>
      </c>
      <c r="F23" s="2" t="n">
        <v>7133</v>
      </c>
      <c r="G23" s="2" t="n">
        <v>378</v>
      </c>
      <c r="H23" s="2" t="n">
        <v>39</v>
      </c>
      <c r="I23" s="2" t="n">
        <v>8385</v>
      </c>
      <c r="J23" s="2" t="n">
        <v>4276.35</v>
      </c>
      <c r="K23" s="2" t="n">
        <v>7</v>
      </c>
      <c r="L23" s="2" t="n">
        <v>10300</v>
      </c>
    </row>
    <row r="24" customFormat="false" ht="15" hidden="false" customHeight="false" outlineLevel="0" collapsed="false">
      <c r="A24" s="2" t="s">
        <v>52</v>
      </c>
      <c r="B24" s="2" t="s">
        <v>25</v>
      </c>
      <c r="C24" s="2" t="s">
        <v>35</v>
      </c>
      <c r="D24" s="2" t="s">
        <v>15</v>
      </c>
      <c r="E24" s="2" t="s">
        <v>51</v>
      </c>
      <c r="F24" s="2" t="n">
        <v>7306</v>
      </c>
      <c r="G24" s="2" t="n">
        <v>431</v>
      </c>
      <c r="H24" s="2" t="n">
        <v>51</v>
      </c>
      <c r="I24" s="2" t="n">
        <v>14280</v>
      </c>
      <c r="J24" s="2" t="n">
        <v>7925.4</v>
      </c>
      <c r="K24" s="2" t="n">
        <v>12</v>
      </c>
      <c r="L24" s="2" t="n">
        <v>12100</v>
      </c>
    </row>
    <row r="25" customFormat="false" ht="15" hidden="false" customHeight="false" outlineLevel="0" collapsed="false">
      <c r="A25" s="2" t="s">
        <v>53</v>
      </c>
      <c r="B25" s="2" t="s">
        <v>27</v>
      </c>
      <c r="C25" s="2" t="s">
        <v>35</v>
      </c>
      <c r="D25" s="2" t="s">
        <v>15</v>
      </c>
      <c r="E25" s="2" t="s">
        <v>51</v>
      </c>
      <c r="F25" s="2" t="n">
        <v>7479</v>
      </c>
      <c r="G25" s="2" t="n">
        <v>486</v>
      </c>
      <c r="H25" s="2" t="n">
        <v>65</v>
      </c>
      <c r="I25" s="2" t="n">
        <v>22425</v>
      </c>
      <c r="J25" s="2" t="n">
        <v>13455</v>
      </c>
      <c r="K25" s="2" t="n">
        <v>3</v>
      </c>
      <c r="L25" s="2" t="n">
        <v>13900</v>
      </c>
    </row>
    <row r="26" customFormat="false" ht="15" hidden="false" customHeight="false" outlineLevel="0" collapsed="false">
      <c r="A26" s="2" t="s">
        <v>54</v>
      </c>
      <c r="B26" s="2" t="s">
        <v>13</v>
      </c>
      <c r="C26" s="2" t="s">
        <v>14</v>
      </c>
      <c r="D26" s="2" t="s">
        <v>15</v>
      </c>
      <c r="E26" s="2" t="s">
        <v>51</v>
      </c>
      <c r="F26" s="2" t="n">
        <v>7652</v>
      </c>
      <c r="G26" s="2" t="n">
        <v>267</v>
      </c>
      <c r="H26" s="2" t="n">
        <v>40</v>
      </c>
      <c r="I26" s="2" t="n">
        <v>6000</v>
      </c>
      <c r="J26" s="2" t="n">
        <v>3060</v>
      </c>
      <c r="K26" s="2" t="n">
        <v>2</v>
      </c>
      <c r="L26" s="2" t="n">
        <v>8500</v>
      </c>
    </row>
    <row r="27" customFormat="false" ht="15" hidden="false" customHeight="false" outlineLevel="0" collapsed="false">
      <c r="A27" s="2" t="s">
        <v>55</v>
      </c>
      <c r="B27" s="2" t="s">
        <v>18</v>
      </c>
      <c r="C27" s="2" t="s">
        <v>14</v>
      </c>
      <c r="D27" s="2" t="s">
        <v>28</v>
      </c>
      <c r="E27" s="2" t="s">
        <v>51</v>
      </c>
      <c r="F27" s="2" t="n">
        <v>7825</v>
      </c>
      <c r="G27" s="2" t="n">
        <v>320</v>
      </c>
      <c r="H27" s="2" t="n">
        <v>28</v>
      </c>
      <c r="I27" s="2" t="n">
        <v>6020</v>
      </c>
      <c r="J27" s="2" t="n">
        <v>3341.1</v>
      </c>
      <c r="K27" s="2" t="n">
        <v>5</v>
      </c>
      <c r="L27" s="2" t="n">
        <v>10300</v>
      </c>
    </row>
    <row r="28" customFormat="false" ht="15" hidden="false" customHeight="false" outlineLevel="0" collapsed="false">
      <c r="A28" s="2" t="s">
        <v>56</v>
      </c>
      <c r="B28" s="2" t="s">
        <v>20</v>
      </c>
      <c r="C28" s="2" t="s">
        <v>14</v>
      </c>
      <c r="D28" s="2" t="s">
        <v>28</v>
      </c>
      <c r="E28" s="2" t="s">
        <v>51</v>
      </c>
      <c r="F28" s="2" t="n">
        <v>7998</v>
      </c>
      <c r="G28" s="2" t="n">
        <v>375</v>
      </c>
      <c r="H28" s="2" t="n">
        <v>39</v>
      </c>
      <c r="I28" s="2" t="n">
        <v>10920</v>
      </c>
      <c r="J28" s="2" t="n">
        <v>6552</v>
      </c>
      <c r="K28" s="2" t="n">
        <v>8</v>
      </c>
      <c r="L28" s="2" t="n">
        <v>12100</v>
      </c>
    </row>
    <row r="29" customFormat="false" ht="15" hidden="false" customHeight="false" outlineLevel="0" collapsed="false">
      <c r="A29" s="2" t="s">
        <v>57</v>
      </c>
      <c r="B29" s="2" t="s">
        <v>22</v>
      </c>
      <c r="C29" s="2" t="s">
        <v>23</v>
      </c>
      <c r="D29" s="2" t="s">
        <v>28</v>
      </c>
      <c r="E29" s="2" t="s">
        <v>51</v>
      </c>
      <c r="F29" s="2" t="n">
        <v>8171</v>
      </c>
      <c r="G29" s="2" t="n">
        <v>433</v>
      </c>
      <c r="H29" s="2" t="n">
        <v>51</v>
      </c>
      <c r="I29" s="2" t="n">
        <v>17595</v>
      </c>
      <c r="J29" s="2" t="n">
        <v>8973.45</v>
      </c>
      <c r="K29" s="2" t="n">
        <v>9</v>
      </c>
      <c r="L29" s="2" t="n">
        <v>13900</v>
      </c>
    </row>
    <row r="30" customFormat="false" ht="15" hidden="false" customHeight="false" outlineLevel="0" collapsed="false">
      <c r="A30" s="2" t="s">
        <v>58</v>
      </c>
      <c r="B30" s="2" t="s">
        <v>25</v>
      </c>
      <c r="C30" s="2" t="s">
        <v>23</v>
      </c>
      <c r="D30" s="2" t="s">
        <v>28</v>
      </c>
      <c r="E30" s="2" t="s">
        <v>16</v>
      </c>
      <c r="F30" s="2" t="n">
        <v>8344</v>
      </c>
      <c r="G30" s="2" t="n">
        <v>492</v>
      </c>
      <c r="H30" s="2" t="n">
        <v>66</v>
      </c>
      <c r="I30" s="2" t="n">
        <v>9900</v>
      </c>
      <c r="J30" s="2" t="n">
        <v>5494.5</v>
      </c>
      <c r="K30" s="2" t="n">
        <v>15</v>
      </c>
      <c r="L30" s="2" t="n">
        <v>8500</v>
      </c>
    </row>
    <row r="31" customFormat="false" ht="15" hidden="false" customHeight="false" outlineLevel="0" collapsed="false">
      <c r="A31" s="2" t="s">
        <v>59</v>
      </c>
      <c r="B31" s="2" t="s">
        <v>27</v>
      </c>
      <c r="C31" s="2" t="s">
        <v>23</v>
      </c>
      <c r="D31" s="2" t="s">
        <v>28</v>
      </c>
      <c r="E31" s="2" t="s">
        <v>16</v>
      </c>
      <c r="F31" s="2" t="n">
        <v>8517</v>
      </c>
      <c r="G31" s="2" t="n">
        <v>553</v>
      </c>
      <c r="H31" s="2" t="n">
        <v>82</v>
      </c>
      <c r="I31" s="2" t="n">
        <v>17630</v>
      </c>
      <c r="J31" s="2" t="n">
        <v>10578</v>
      </c>
      <c r="K31" s="2" t="n">
        <v>3</v>
      </c>
      <c r="L31" s="2" t="n">
        <v>10300</v>
      </c>
    </row>
    <row r="32" customFormat="false" ht="15" hidden="false" customHeight="false" outlineLevel="0" collapsed="false">
      <c r="A32" s="2" t="s">
        <v>60</v>
      </c>
      <c r="B32" s="2" t="s">
        <v>13</v>
      </c>
      <c r="C32" s="2" t="s">
        <v>30</v>
      </c>
      <c r="D32" s="2" t="s">
        <v>37</v>
      </c>
      <c r="E32" s="2" t="s">
        <v>16</v>
      </c>
      <c r="F32" s="2" t="n">
        <v>8690</v>
      </c>
      <c r="G32" s="2" t="n">
        <v>304</v>
      </c>
      <c r="H32" s="2" t="n">
        <v>27</v>
      </c>
      <c r="I32" s="2" t="n">
        <v>7560</v>
      </c>
      <c r="J32" s="2" t="n">
        <v>3855.6</v>
      </c>
      <c r="K32" s="2" t="n">
        <v>0</v>
      </c>
      <c r="L32" s="2" t="n">
        <v>12100</v>
      </c>
    </row>
    <row r="33" customFormat="false" ht="15" hidden="false" customHeight="false" outlineLevel="0" collapsed="false">
      <c r="A33" s="2" t="s">
        <v>61</v>
      </c>
      <c r="B33" s="2" t="s">
        <v>18</v>
      </c>
      <c r="C33" s="2" t="s">
        <v>30</v>
      </c>
      <c r="D33" s="2" t="s">
        <v>37</v>
      </c>
      <c r="E33" s="2" t="s">
        <v>16</v>
      </c>
      <c r="F33" s="2" t="n">
        <v>8863</v>
      </c>
      <c r="G33" s="2" t="n">
        <v>363</v>
      </c>
      <c r="H33" s="2" t="n">
        <v>38</v>
      </c>
      <c r="I33" s="2" t="n">
        <v>13110</v>
      </c>
      <c r="J33" s="2" t="n">
        <v>7276.05</v>
      </c>
      <c r="K33" s="2" t="n">
        <v>2</v>
      </c>
      <c r="L33" s="2" t="n">
        <v>13900</v>
      </c>
    </row>
    <row r="34" customFormat="false" ht="15" hidden="false" customHeight="false" outlineLevel="0" collapsed="false">
      <c r="A34" s="2" t="s">
        <v>62</v>
      </c>
      <c r="B34" s="2" t="s">
        <v>20</v>
      </c>
      <c r="C34" s="2" t="s">
        <v>30</v>
      </c>
      <c r="D34" s="2" t="s">
        <v>37</v>
      </c>
      <c r="E34" s="2" t="s">
        <v>16</v>
      </c>
      <c r="F34" s="2" t="n">
        <v>9036</v>
      </c>
      <c r="G34" s="2" t="n">
        <v>424</v>
      </c>
      <c r="H34" s="2" t="n">
        <v>50</v>
      </c>
      <c r="I34" s="2" t="n">
        <v>7500</v>
      </c>
      <c r="J34" s="2" t="n">
        <v>4500</v>
      </c>
      <c r="K34" s="2" t="n">
        <v>11</v>
      </c>
      <c r="L34" s="2" t="n">
        <v>8500</v>
      </c>
    </row>
    <row r="35" customFormat="false" ht="15" hidden="false" customHeight="false" outlineLevel="0" collapsed="false">
      <c r="A35" s="2" t="s">
        <v>63</v>
      </c>
      <c r="B35" s="2" t="s">
        <v>22</v>
      </c>
      <c r="C35" s="2" t="s">
        <v>35</v>
      </c>
      <c r="D35" s="2" t="s">
        <v>37</v>
      </c>
      <c r="E35" s="2" t="s">
        <v>16</v>
      </c>
      <c r="F35" s="2" t="n">
        <v>9209</v>
      </c>
      <c r="G35" s="2" t="n">
        <v>488</v>
      </c>
      <c r="H35" s="2" t="n">
        <v>65</v>
      </c>
      <c r="I35" s="2" t="n">
        <v>13975</v>
      </c>
      <c r="J35" s="2" t="n">
        <v>7127.25</v>
      </c>
      <c r="K35" s="2" t="n">
        <v>11</v>
      </c>
      <c r="L35" s="2" t="n">
        <v>10300</v>
      </c>
    </row>
    <row r="36" customFormat="false" ht="15" hidden="false" customHeight="false" outlineLevel="0" collapsed="false">
      <c r="A36" s="2" t="s">
        <v>64</v>
      </c>
      <c r="B36" s="2" t="s">
        <v>25</v>
      </c>
      <c r="C36" s="2" t="s">
        <v>35</v>
      </c>
      <c r="D36" s="2" t="s">
        <v>37</v>
      </c>
      <c r="E36" s="2" t="s">
        <v>16</v>
      </c>
      <c r="F36" s="2" t="n">
        <v>9382</v>
      </c>
      <c r="G36" s="2" t="n">
        <v>553</v>
      </c>
      <c r="H36" s="2" t="n">
        <v>82</v>
      </c>
      <c r="I36" s="2" t="n">
        <v>22960</v>
      </c>
      <c r="J36" s="2" t="n">
        <v>12742.8</v>
      </c>
      <c r="K36" s="2" t="n">
        <v>18</v>
      </c>
      <c r="L36" s="2" t="n">
        <v>12100</v>
      </c>
    </row>
    <row r="37" customFormat="false" ht="15" hidden="false" customHeight="false" outlineLevel="0" collapsed="false">
      <c r="A37" s="2" t="s">
        <v>65</v>
      </c>
      <c r="B37" s="2" t="s">
        <v>27</v>
      </c>
      <c r="C37" s="2" t="s">
        <v>35</v>
      </c>
      <c r="D37" s="2" t="s">
        <v>44</v>
      </c>
      <c r="E37" s="2" t="s">
        <v>32</v>
      </c>
      <c r="F37" s="2" t="n">
        <v>9555</v>
      </c>
      <c r="G37" s="2" t="n">
        <v>621</v>
      </c>
      <c r="H37" s="2" t="n">
        <v>55</v>
      </c>
      <c r="I37" s="2" t="n">
        <v>18975</v>
      </c>
      <c r="J37" s="2" t="n">
        <v>11385</v>
      </c>
      <c r="K37" s="2" t="n">
        <v>10</v>
      </c>
      <c r="L37" s="2" t="n">
        <v>13900</v>
      </c>
    </row>
    <row r="38" customFormat="false" ht="15" hidden="false" customHeight="false" outlineLevel="0" collapsed="false">
      <c r="A38" s="2" t="s">
        <v>66</v>
      </c>
      <c r="B38" s="2" t="s">
        <v>13</v>
      </c>
      <c r="C38" s="2" t="s">
        <v>14</v>
      </c>
      <c r="D38" s="2" t="s">
        <v>44</v>
      </c>
      <c r="E38" s="2" t="s">
        <v>32</v>
      </c>
      <c r="F38" s="2" t="n">
        <v>9728</v>
      </c>
      <c r="G38" s="2" t="n">
        <v>340</v>
      </c>
      <c r="H38" s="2" t="n">
        <v>35</v>
      </c>
      <c r="I38" s="2" t="n">
        <v>5250</v>
      </c>
      <c r="J38" s="2" t="n">
        <v>2677.5</v>
      </c>
      <c r="K38" s="2" t="n">
        <v>0</v>
      </c>
      <c r="L38" s="2" t="n">
        <v>8500</v>
      </c>
    </row>
    <row r="39" customFormat="false" ht="15" hidden="false" customHeight="false" outlineLevel="0" collapsed="false">
      <c r="A39" s="2" t="s">
        <v>67</v>
      </c>
      <c r="B39" s="2" t="s">
        <v>18</v>
      </c>
      <c r="C39" s="2" t="s">
        <v>14</v>
      </c>
      <c r="D39" s="2" t="s">
        <v>44</v>
      </c>
      <c r="E39" s="2" t="s">
        <v>32</v>
      </c>
      <c r="F39" s="2" t="n">
        <v>9901</v>
      </c>
      <c r="G39" s="2" t="n">
        <v>405</v>
      </c>
      <c r="H39" s="2" t="n">
        <v>48</v>
      </c>
      <c r="I39" s="2" t="n">
        <v>10320</v>
      </c>
      <c r="J39" s="2" t="n">
        <v>5727.6</v>
      </c>
      <c r="K39" s="2" t="n">
        <v>9</v>
      </c>
      <c r="L39" s="2" t="n">
        <v>10300</v>
      </c>
    </row>
    <row r="40" customFormat="false" ht="15" hidden="false" customHeight="false" outlineLevel="0" collapsed="false">
      <c r="A40" s="2" t="s">
        <v>68</v>
      </c>
      <c r="B40" s="2" t="s">
        <v>20</v>
      </c>
      <c r="C40" s="2" t="s">
        <v>14</v>
      </c>
      <c r="D40" s="2" t="s">
        <v>44</v>
      </c>
      <c r="E40" s="2" t="s">
        <v>32</v>
      </c>
      <c r="F40" s="2" t="n">
        <v>10074</v>
      </c>
      <c r="G40" s="2" t="n">
        <v>473</v>
      </c>
      <c r="H40" s="2" t="n">
        <v>63</v>
      </c>
      <c r="I40" s="2" t="n">
        <v>17640</v>
      </c>
      <c r="J40" s="2" t="n">
        <v>10584</v>
      </c>
      <c r="K40" s="2" t="n">
        <v>4</v>
      </c>
      <c r="L40" s="2" t="n">
        <v>12100</v>
      </c>
    </row>
    <row r="41" customFormat="false" ht="15" hidden="false" customHeight="false" outlineLevel="0" collapsed="false">
      <c r="A41" s="2" t="s">
        <v>69</v>
      </c>
      <c r="B41" s="2" t="s">
        <v>22</v>
      </c>
      <c r="C41" s="2" t="s">
        <v>23</v>
      </c>
      <c r="D41" s="2" t="s">
        <v>44</v>
      </c>
      <c r="E41" s="2" t="s">
        <v>32</v>
      </c>
      <c r="F41" s="2" t="n">
        <v>10247</v>
      </c>
      <c r="G41" s="2" t="n">
        <v>543</v>
      </c>
      <c r="H41" s="2" t="n">
        <v>81</v>
      </c>
      <c r="I41" s="2" t="n">
        <v>27945</v>
      </c>
      <c r="J41" s="2" t="n">
        <v>14251.95</v>
      </c>
      <c r="K41" s="2" t="n">
        <v>5</v>
      </c>
      <c r="L41" s="2" t="n">
        <v>13900</v>
      </c>
    </row>
    <row r="42" customFormat="false" ht="15" hidden="false" customHeight="false" outlineLevel="0" collapsed="false">
      <c r="A42" s="2" t="s">
        <v>70</v>
      </c>
      <c r="B42" s="2" t="s">
        <v>25</v>
      </c>
      <c r="C42" s="2" t="s">
        <v>23</v>
      </c>
      <c r="D42" s="2" t="s">
        <v>15</v>
      </c>
      <c r="E42" s="2" t="s">
        <v>32</v>
      </c>
      <c r="F42" s="2" t="n">
        <v>10420</v>
      </c>
      <c r="G42" s="2" t="n">
        <v>614</v>
      </c>
      <c r="H42" s="2" t="n">
        <v>55</v>
      </c>
      <c r="I42" s="2" t="n">
        <v>8250</v>
      </c>
      <c r="J42" s="2" t="n">
        <v>4578.75</v>
      </c>
      <c r="K42" s="2" t="n">
        <v>6</v>
      </c>
      <c r="L42" s="2" t="n">
        <v>8500</v>
      </c>
    </row>
    <row r="43" customFormat="false" ht="15" hidden="false" customHeight="false" outlineLevel="0" collapsed="false">
      <c r="A43" s="2" t="s">
        <v>71</v>
      </c>
      <c r="B43" s="2" t="s">
        <v>27</v>
      </c>
      <c r="C43" s="2" t="s">
        <v>23</v>
      </c>
      <c r="D43" s="2" t="s">
        <v>15</v>
      </c>
      <c r="E43" s="2" t="s">
        <v>32</v>
      </c>
      <c r="F43" s="2" t="n">
        <v>3593</v>
      </c>
      <c r="G43" s="2" t="n">
        <v>233</v>
      </c>
      <c r="H43" s="2" t="n">
        <v>24</v>
      </c>
      <c r="I43" s="2" t="n">
        <v>5160</v>
      </c>
      <c r="J43" s="2" t="n">
        <v>3096</v>
      </c>
      <c r="K43" s="2" t="n">
        <v>6</v>
      </c>
      <c r="L43" s="2" t="n">
        <v>10300</v>
      </c>
    </row>
    <row r="44" customFormat="false" ht="15" hidden="false" customHeight="false" outlineLevel="0" collapsed="false">
      <c r="A44" s="2" t="s">
        <v>72</v>
      </c>
      <c r="B44" s="2" t="s">
        <v>13</v>
      </c>
      <c r="C44" s="2" t="s">
        <v>30</v>
      </c>
      <c r="D44" s="2" t="s">
        <v>15</v>
      </c>
      <c r="E44" s="2" t="s">
        <v>42</v>
      </c>
      <c r="F44" s="2" t="n">
        <v>3766</v>
      </c>
      <c r="G44" s="2" t="n">
        <v>131</v>
      </c>
      <c r="H44" s="2" t="n">
        <v>15</v>
      </c>
      <c r="I44" s="2" t="n">
        <v>4200</v>
      </c>
      <c r="J44" s="2" t="n">
        <v>2142</v>
      </c>
      <c r="K44" s="2" t="n">
        <v>0</v>
      </c>
      <c r="L44" s="2" t="n">
        <v>12100</v>
      </c>
    </row>
    <row r="45" customFormat="false" ht="15" hidden="false" customHeight="false" outlineLevel="0" collapsed="false">
      <c r="A45" s="2" t="s">
        <v>73</v>
      </c>
      <c r="B45" s="2" t="s">
        <v>18</v>
      </c>
      <c r="C45" s="2" t="s">
        <v>30</v>
      </c>
      <c r="D45" s="2" t="s">
        <v>15</v>
      </c>
      <c r="E45" s="2" t="s">
        <v>42</v>
      </c>
      <c r="F45" s="2" t="n">
        <v>3939</v>
      </c>
      <c r="G45" s="2" t="n">
        <v>161</v>
      </c>
      <c r="H45" s="2" t="n">
        <v>21</v>
      </c>
      <c r="I45" s="2" t="n">
        <v>7245</v>
      </c>
      <c r="J45" s="2" t="n">
        <v>4020.98</v>
      </c>
      <c r="K45" s="2" t="n">
        <v>1</v>
      </c>
      <c r="L45" s="2" t="n">
        <v>13900</v>
      </c>
    </row>
    <row r="46" customFormat="false" ht="15" hidden="false" customHeight="false" outlineLevel="0" collapsed="false">
      <c r="A46" s="2" t="s">
        <v>74</v>
      </c>
      <c r="B46" s="2" t="s">
        <v>20</v>
      </c>
      <c r="C46" s="2" t="s">
        <v>30</v>
      </c>
      <c r="D46" s="2" t="s">
        <v>15</v>
      </c>
      <c r="E46" s="2" t="s">
        <v>42</v>
      </c>
      <c r="F46" s="2" t="n">
        <v>4112</v>
      </c>
      <c r="G46" s="2" t="n">
        <v>193</v>
      </c>
      <c r="H46" s="2" t="n">
        <v>28</v>
      </c>
      <c r="I46" s="2" t="n">
        <v>4200</v>
      </c>
      <c r="J46" s="2" t="n">
        <v>2520</v>
      </c>
      <c r="K46" s="2" t="n">
        <v>2</v>
      </c>
      <c r="L46" s="2" t="n">
        <v>8500</v>
      </c>
    </row>
    <row r="47" customFormat="false" ht="15" hidden="false" customHeight="false" outlineLevel="0" collapsed="false">
      <c r="A47" s="2" t="s">
        <v>75</v>
      </c>
      <c r="B47" s="2" t="s">
        <v>22</v>
      </c>
      <c r="C47" s="2" t="s">
        <v>35</v>
      </c>
      <c r="D47" s="2" t="s">
        <v>28</v>
      </c>
      <c r="E47" s="2" t="s">
        <v>42</v>
      </c>
      <c r="F47" s="2" t="n">
        <v>4285</v>
      </c>
      <c r="G47" s="2" t="n">
        <v>227</v>
      </c>
      <c r="H47" s="2" t="n">
        <v>20</v>
      </c>
      <c r="I47" s="2" t="n">
        <v>4300</v>
      </c>
      <c r="J47" s="2" t="n">
        <v>2193</v>
      </c>
      <c r="K47" s="2" t="n">
        <v>2</v>
      </c>
      <c r="L47" s="2" t="n">
        <v>10300</v>
      </c>
    </row>
    <row r="48" customFormat="false" ht="15" hidden="false" customHeight="false" outlineLevel="0" collapsed="false">
      <c r="A48" s="2" t="s">
        <v>76</v>
      </c>
      <c r="B48" s="2" t="s">
        <v>25</v>
      </c>
      <c r="C48" s="2" t="s">
        <v>35</v>
      </c>
      <c r="D48" s="2" t="s">
        <v>28</v>
      </c>
      <c r="E48" s="2" t="s">
        <v>42</v>
      </c>
      <c r="F48" s="2" t="n">
        <v>4458</v>
      </c>
      <c r="G48" s="2" t="n">
        <v>263</v>
      </c>
      <c r="H48" s="2" t="n">
        <v>27</v>
      </c>
      <c r="I48" s="2" t="n">
        <v>7560</v>
      </c>
      <c r="J48" s="2" t="n">
        <v>4195.8</v>
      </c>
      <c r="K48" s="2" t="n">
        <v>8</v>
      </c>
      <c r="L48" s="2" t="n">
        <v>12100</v>
      </c>
    </row>
    <row r="49" customFormat="false" ht="15" hidden="false" customHeight="false" outlineLevel="0" collapsed="false">
      <c r="A49" s="2" t="s">
        <v>77</v>
      </c>
      <c r="B49" s="2" t="s">
        <v>27</v>
      </c>
      <c r="C49" s="2" t="s">
        <v>35</v>
      </c>
      <c r="D49" s="2" t="s">
        <v>28</v>
      </c>
      <c r="E49" s="2" t="s">
        <v>42</v>
      </c>
      <c r="F49" s="2" t="n">
        <v>4631</v>
      </c>
      <c r="G49" s="2" t="n">
        <v>301</v>
      </c>
      <c r="H49" s="2" t="n">
        <v>36</v>
      </c>
      <c r="I49" s="2" t="n">
        <v>12420</v>
      </c>
      <c r="J49" s="2" t="n">
        <v>7452</v>
      </c>
      <c r="K49" s="2" t="n">
        <v>11</v>
      </c>
      <c r="L49" s="2" t="n">
        <v>13900</v>
      </c>
    </row>
    <row r="50" customFormat="false" ht="15" hidden="false" customHeight="false" outlineLevel="0" collapsed="false">
      <c r="A50" s="2" t="s">
        <v>78</v>
      </c>
      <c r="B50" s="2" t="s">
        <v>13</v>
      </c>
      <c r="C50" s="2" t="s">
        <v>14</v>
      </c>
      <c r="D50" s="2" t="s">
        <v>28</v>
      </c>
      <c r="E50" s="2" t="s">
        <v>42</v>
      </c>
      <c r="F50" s="2" t="n">
        <v>4804</v>
      </c>
      <c r="G50" s="2" t="n">
        <v>168</v>
      </c>
      <c r="H50" s="2" t="n">
        <v>22</v>
      </c>
      <c r="I50" s="2" t="n">
        <v>3300</v>
      </c>
      <c r="J50" s="2" t="n">
        <v>1683</v>
      </c>
      <c r="K50" s="2" t="n">
        <v>0</v>
      </c>
      <c r="L50" s="2" t="n">
        <v>8500</v>
      </c>
    </row>
    <row r="51" customFormat="false" ht="15" hidden="false" customHeight="false" outlineLevel="0" collapsed="false">
      <c r="A51" s="2" t="s">
        <v>79</v>
      </c>
      <c r="B51" s="2" t="s">
        <v>18</v>
      </c>
      <c r="C51" s="2" t="s">
        <v>14</v>
      </c>
      <c r="D51" s="2" t="s">
        <v>28</v>
      </c>
      <c r="E51" s="2" t="s">
        <v>51</v>
      </c>
      <c r="F51" s="2" t="n">
        <v>4977</v>
      </c>
      <c r="G51" s="2" t="n">
        <v>204</v>
      </c>
      <c r="H51" s="2" t="n">
        <v>30</v>
      </c>
      <c r="I51" s="2" t="n">
        <v>6450</v>
      </c>
      <c r="J51" s="2" t="n">
        <v>3579.75</v>
      </c>
      <c r="K51" s="2" t="n">
        <v>4</v>
      </c>
      <c r="L51" s="2" t="n">
        <v>10300</v>
      </c>
    </row>
    <row r="52" customFormat="false" ht="15" hidden="false" customHeight="false" outlineLevel="0" collapsed="false">
      <c r="A52" s="2" t="s">
        <v>80</v>
      </c>
      <c r="B52" s="2" t="s">
        <v>20</v>
      </c>
      <c r="C52" s="2" t="s">
        <v>14</v>
      </c>
      <c r="D52" s="2" t="s">
        <v>37</v>
      </c>
      <c r="E52" s="2" t="s">
        <v>51</v>
      </c>
      <c r="F52" s="2" t="n">
        <v>5150</v>
      </c>
      <c r="G52" s="2" t="n">
        <v>242</v>
      </c>
      <c r="H52" s="2" t="n">
        <v>21</v>
      </c>
      <c r="I52" s="2" t="n">
        <v>5880</v>
      </c>
      <c r="J52" s="2" t="n">
        <v>3528</v>
      </c>
      <c r="K52" s="2" t="n">
        <v>6</v>
      </c>
      <c r="L52" s="2" t="n">
        <v>12100</v>
      </c>
    </row>
    <row r="53" customFormat="false" ht="15" hidden="false" customHeight="false" outlineLevel="0" collapsed="false">
      <c r="A53" s="2" t="s">
        <v>81</v>
      </c>
      <c r="B53" s="2" t="s">
        <v>22</v>
      </c>
      <c r="C53" s="2" t="s">
        <v>23</v>
      </c>
      <c r="D53" s="2" t="s">
        <v>37</v>
      </c>
      <c r="E53" s="2" t="s">
        <v>51</v>
      </c>
      <c r="F53" s="2" t="n">
        <v>5323</v>
      </c>
      <c r="G53" s="2" t="n">
        <v>282</v>
      </c>
      <c r="H53" s="2" t="n">
        <v>29</v>
      </c>
      <c r="I53" s="2" t="n">
        <v>10005</v>
      </c>
      <c r="J53" s="2" t="n">
        <v>5102.55</v>
      </c>
      <c r="K53" s="2" t="n">
        <v>3</v>
      </c>
      <c r="L53" s="2" t="n">
        <v>13900</v>
      </c>
    </row>
    <row r="54" customFormat="false" ht="15" hidden="false" customHeight="false" outlineLevel="0" collapsed="false">
      <c r="A54" s="2" t="s">
        <v>82</v>
      </c>
      <c r="B54" s="2" t="s">
        <v>25</v>
      </c>
      <c r="C54" s="2" t="s">
        <v>23</v>
      </c>
      <c r="D54" s="2" t="s">
        <v>37</v>
      </c>
      <c r="E54" s="2" t="s">
        <v>51</v>
      </c>
      <c r="F54" s="2" t="n">
        <v>5496</v>
      </c>
      <c r="G54" s="2" t="n">
        <v>324</v>
      </c>
      <c r="H54" s="2" t="n">
        <v>38</v>
      </c>
      <c r="I54" s="2" t="n">
        <v>5700</v>
      </c>
      <c r="J54" s="2" t="n">
        <v>3163.5</v>
      </c>
      <c r="K54" s="2" t="n">
        <v>0</v>
      </c>
      <c r="L54" s="2" t="n">
        <v>8500</v>
      </c>
    </row>
    <row r="55" customFormat="false" ht="15" hidden="false" customHeight="false" outlineLevel="0" collapsed="false">
      <c r="A55" s="2" t="s">
        <v>83</v>
      </c>
      <c r="B55" s="2" t="s">
        <v>27</v>
      </c>
      <c r="C55" s="2" t="s">
        <v>23</v>
      </c>
      <c r="D55" s="2" t="s">
        <v>37</v>
      </c>
      <c r="E55" s="2" t="s">
        <v>51</v>
      </c>
      <c r="F55" s="2" t="n">
        <v>5669</v>
      </c>
      <c r="G55" s="2" t="n">
        <v>368</v>
      </c>
      <c r="H55" s="2" t="n">
        <v>49</v>
      </c>
      <c r="I55" s="2" t="n">
        <v>10535</v>
      </c>
      <c r="J55" s="2" t="n">
        <v>6321</v>
      </c>
      <c r="K55" s="2" t="n">
        <v>6</v>
      </c>
      <c r="L55" s="2" t="n">
        <v>10300</v>
      </c>
    </row>
    <row r="56" customFormat="false" ht="15" hidden="false" customHeight="false" outlineLevel="0" collapsed="false">
      <c r="A56" s="2" t="s">
        <v>84</v>
      </c>
      <c r="B56" s="2" t="s">
        <v>13</v>
      </c>
      <c r="C56" s="2" t="s">
        <v>30</v>
      </c>
      <c r="D56" s="2" t="s">
        <v>37</v>
      </c>
      <c r="E56" s="2" t="s">
        <v>51</v>
      </c>
      <c r="F56" s="2" t="n">
        <v>5842</v>
      </c>
      <c r="G56" s="2" t="n">
        <v>204</v>
      </c>
      <c r="H56" s="2" t="n">
        <v>30</v>
      </c>
      <c r="I56" s="2" t="n">
        <v>8400</v>
      </c>
      <c r="J56" s="2" t="n">
        <v>4284</v>
      </c>
      <c r="K56" s="2" t="n">
        <v>8</v>
      </c>
      <c r="L56" s="2" t="n">
        <v>12100</v>
      </c>
    </row>
    <row r="57" customFormat="false" ht="15" hidden="false" customHeight="false" outlineLevel="0" collapsed="false">
      <c r="A57" s="2" t="s">
        <v>85</v>
      </c>
      <c r="B57" s="2" t="s">
        <v>18</v>
      </c>
      <c r="C57" s="2" t="s">
        <v>30</v>
      </c>
      <c r="D57" s="2" t="s">
        <v>44</v>
      </c>
      <c r="E57" s="2" t="s">
        <v>51</v>
      </c>
      <c r="F57" s="2" t="n">
        <v>6015</v>
      </c>
      <c r="G57" s="2" t="n">
        <v>246</v>
      </c>
      <c r="H57" s="2" t="n">
        <v>22</v>
      </c>
      <c r="I57" s="2" t="n">
        <v>7590</v>
      </c>
      <c r="J57" s="2" t="n">
        <v>4212.45</v>
      </c>
      <c r="K57" s="2" t="n">
        <v>5</v>
      </c>
      <c r="L57" s="2" t="n">
        <v>13900</v>
      </c>
    </row>
    <row r="58" customFormat="false" ht="15" hidden="false" customHeight="false" outlineLevel="0" collapsed="false">
      <c r="A58" s="2" t="s">
        <v>86</v>
      </c>
      <c r="B58" s="2" t="s">
        <v>20</v>
      </c>
      <c r="C58" s="2" t="s">
        <v>30</v>
      </c>
      <c r="D58" s="2" t="s">
        <v>44</v>
      </c>
      <c r="E58" s="2" t="s">
        <v>16</v>
      </c>
      <c r="F58" s="2" t="n">
        <v>6188</v>
      </c>
      <c r="G58" s="2" t="n">
        <v>290</v>
      </c>
      <c r="H58" s="2" t="n">
        <v>30</v>
      </c>
      <c r="I58" s="2" t="n">
        <v>4500</v>
      </c>
      <c r="J58" s="2" t="n">
        <v>2700</v>
      </c>
      <c r="K58" s="2" t="n">
        <v>3</v>
      </c>
      <c r="L58" s="2" t="n">
        <v>8500</v>
      </c>
    </row>
    <row r="59" customFormat="false" ht="15" hidden="false" customHeight="false" outlineLevel="0" collapsed="false">
      <c r="A59" s="2" t="s">
        <v>87</v>
      </c>
      <c r="B59" s="2" t="s">
        <v>22</v>
      </c>
      <c r="C59" s="2" t="s">
        <v>35</v>
      </c>
      <c r="D59" s="2" t="s">
        <v>44</v>
      </c>
      <c r="E59" s="2" t="s">
        <v>16</v>
      </c>
      <c r="F59" s="2" t="n">
        <v>6361</v>
      </c>
      <c r="G59" s="2" t="n">
        <v>337</v>
      </c>
      <c r="H59" s="2" t="n">
        <v>40</v>
      </c>
      <c r="I59" s="2" t="n">
        <v>8600</v>
      </c>
      <c r="J59" s="2" t="n">
        <v>4386</v>
      </c>
      <c r="K59" s="2" t="n">
        <v>3</v>
      </c>
      <c r="L59" s="2" t="n">
        <v>10300</v>
      </c>
    </row>
    <row r="60" customFormat="false" ht="15" hidden="false" customHeight="false" outlineLevel="0" collapsed="false">
      <c r="A60" s="2" t="s">
        <v>88</v>
      </c>
      <c r="B60" s="2" t="s">
        <v>25</v>
      </c>
      <c r="C60" s="2" t="s">
        <v>35</v>
      </c>
      <c r="D60" s="2" t="s">
        <v>44</v>
      </c>
      <c r="E60" s="2" t="s">
        <v>16</v>
      </c>
      <c r="F60" s="2" t="n">
        <v>6534</v>
      </c>
      <c r="G60" s="2" t="n">
        <v>385</v>
      </c>
      <c r="H60" s="2" t="n">
        <v>51</v>
      </c>
      <c r="I60" s="2" t="n">
        <v>14280</v>
      </c>
      <c r="J60" s="2" t="n">
        <v>7925.4</v>
      </c>
      <c r="K60" s="2" t="n">
        <v>12</v>
      </c>
      <c r="L60" s="2" t="n">
        <v>12100</v>
      </c>
    </row>
    <row r="61" customFormat="false" ht="15" hidden="false" customHeight="false" outlineLevel="0" collapsed="false">
      <c r="A61" s="2" t="s">
        <v>89</v>
      </c>
      <c r="B61" s="2" t="s">
        <v>27</v>
      </c>
      <c r="C61" s="2" t="s">
        <v>35</v>
      </c>
      <c r="D61" s="2" t="s">
        <v>44</v>
      </c>
      <c r="E61" s="2" t="s">
        <v>16</v>
      </c>
      <c r="F61" s="2" t="n">
        <v>6707</v>
      </c>
      <c r="G61" s="2" t="n">
        <v>435</v>
      </c>
      <c r="H61" s="2" t="n">
        <v>65</v>
      </c>
      <c r="I61" s="2" t="n">
        <v>22425</v>
      </c>
      <c r="J61" s="2" t="n">
        <v>13455</v>
      </c>
      <c r="K61" s="2" t="n">
        <v>1</v>
      </c>
      <c r="L61" s="2" t="n">
        <v>13900</v>
      </c>
    </row>
    <row r="62" customFormat="false" ht="15" hidden="false" customHeight="false" outlineLevel="0" collapsed="false">
      <c r="A62" s="2" t="s">
        <v>90</v>
      </c>
      <c r="B62" s="2" t="s">
        <v>13</v>
      </c>
      <c r="C62" s="2" t="s">
        <v>14</v>
      </c>
      <c r="D62" s="2" t="s">
        <v>15</v>
      </c>
      <c r="E62" s="2" t="s">
        <v>16</v>
      </c>
      <c r="F62" s="2" t="n">
        <v>6880</v>
      </c>
      <c r="G62" s="2" t="n">
        <v>240</v>
      </c>
      <c r="H62" s="2" t="n">
        <v>21</v>
      </c>
      <c r="I62" s="2" t="n">
        <v>3150</v>
      </c>
      <c r="J62" s="2" t="n">
        <v>1606.5</v>
      </c>
      <c r="K62" s="2" t="n">
        <v>4</v>
      </c>
      <c r="L62" s="2" t="n">
        <v>8500</v>
      </c>
    </row>
    <row r="63" customFormat="false" ht="15" hidden="false" customHeight="false" outlineLevel="0" collapsed="false">
      <c r="A63" s="2" t="s">
        <v>91</v>
      </c>
      <c r="B63" s="2" t="s">
        <v>18</v>
      </c>
      <c r="C63" s="2" t="s">
        <v>14</v>
      </c>
      <c r="D63" s="2" t="s">
        <v>15</v>
      </c>
      <c r="E63" s="2" t="s">
        <v>16</v>
      </c>
      <c r="F63" s="2" t="n">
        <v>7053</v>
      </c>
      <c r="G63" s="2" t="n">
        <v>289</v>
      </c>
      <c r="H63" s="2" t="n">
        <v>30</v>
      </c>
      <c r="I63" s="2" t="n">
        <v>6450</v>
      </c>
      <c r="J63" s="2" t="n">
        <v>3579.75</v>
      </c>
      <c r="K63" s="2" t="n">
        <v>7</v>
      </c>
      <c r="L63" s="2" t="n">
        <v>10300</v>
      </c>
    </row>
    <row r="64" customFormat="false" ht="15" hidden="false" customHeight="false" outlineLevel="0" collapsed="false">
      <c r="A64" s="2" t="s">
        <v>92</v>
      </c>
      <c r="B64" s="2" t="s">
        <v>20</v>
      </c>
      <c r="C64" s="2" t="s">
        <v>14</v>
      </c>
      <c r="D64" s="2" t="s">
        <v>15</v>
      </c>
      <c r="E64" s="2" t="s">
        <v>16</v>
      </c>
      <c r="F64" s="2" t="n">
        <v>7226</v>
      </c>
      <c r="G64" s="2" t="n">
        <v>339</v>
      </c>
      <c r="H64" s="2" t="n">
        <v>40</v>
      </c>
      <c r="I64" s="2" t="n">
        <v>11200</v>
      </c>
      <c r="J64" s="2" t="n">
        <v>6720</v>
      </c>
      <c r="K64" s="2" t="n">
        <v>4</v>
      </c>
      <c r="L64" s="2" t="n">
        <v>12100</v>
      </c>
    </row>
    <row r="65" customFormat="false" ht="15" hidden="false" customHeight="false" outlineLevel="0" collapsed="false">
      <c r="A65" s="2" t="s">
        <v>93</v>
      </c>
      <c r="B65" s="2" t="s">
        <v>22</v>
      </c>
      <c r="C65" s="2" t="s">
        <v>23</v>
      </c>
      <c r="D65" s="2" t="s">
        <v>15</v>
      </c>
      <c r="E65" s="2" t="s">
        <v>32</v>
      </c>
      <c r="F65" s="2" t="n">
        <v>7399</v>
      </c>
      <c r="G65" s="2" t="n">
        <v>392</v>
      </c>
      <c r="H65" s="2" t="n">
        <v>52</v>
      </c>
      <c r="I65" s="2" t="n">
        <v>17940</v>
      </c>
      <c r="J65" s="2" t="n">
        <v>9149.4</v>
      </c>
      <c r="K65" s="2" t="n">
        <v>9</v>
      </c>
      <c r="L65" s="2" t="n">
        <v>13900</v>
      </c>
    </row>
    <row r="66" customFormat="false" ht="15" hidden="false" customHeight="false" outlineLevel="0" collapsed="false">
      <c r="A66" s="2" t="s">
        <v>94</v>
      </c>
      <c r="B66" s="2" t="s">
        <v>25</v>
      </c>
      <c r="C66" s="2" t="s">
        <v>23</v>
      </c>
      <c r="D66" s="2" t="s">
        <v>15</v>
      </c>
      <c r="E66" s="2" t="s">
        <v>32</v>
      </c>
      <c r="F66" s="2" t="n">
        <v>7572</v>
      </c>
      <c r="G66" s="2" t="n">
        <v>446</v>
      </c>
      <c r="H66" s="2" t="n">
        <v>66</v>
      </c>
      <c r="I66" s="2" t="n">
        <v>9900</v>
      </c>
      <c r="J66" s="2" t="n">
        <v>5494.5</v>
      </c>
      <c r="K66" s="2" t="n">
        <v>8</v>
      </c>
      <c r="L66" s="2" t="n">
        <v>8500</v>
      </c>
    </row>
    <row r="67" customFormat="false" ht="15" hidden="false" customHeight="false" outlineLevel="0" collapsed="false">
      <c r="A67" s="2" t="s">
        <v>95</v>
      </c>
      <c r="B67" s="2" t="s">
        <v>27</v>
      </c>
      <c r="C67" s="2" t="s">
        <v>23</v>
      </c>
      <c r="D67" s="2" t="s">
        <v>28</v>
      </c>
      <c r="E67" s="2" t="s">
        <v>32</v>
      </c>
      <c r="F67" s="2" t="n">
        <v>7745</v>
      </c>
      <c r="G67" s="2" t="n">
        <v>503</v>
      </c>
      <c r="H67" s="2" t="n">
        <v>45</v>
      </c>
      <c r="I67" s="2" t="n">
        <v>9675</v>
      </c>
      <c r="J67" s="2" t="n">
        <v>5805</v>
      </c>
      <c r="K67" s="2" t="n">
        <v>3</v>
      </c>
      <c r="L67" s="2" t="n">
        <v>10300</v>
      </c>
    </row>
    <row r="68" customFormat="false" ht="15" hidden="false" customHeight="false" outlineLevel="0" collapsed="false">
      <c r="A68" s="2" t="s">
        <v>96</v>
      </c>
      <c r="B68" s="2" t="s">
        <v>13</v>
      </c>
      <c r="C68" s="2" t="s">
        <v>30</v>
      </c>
      <c r="D68" s="2" t="s">
        <v>28</v>
      </c>
      <c r="E68" s="2" t="s">
        <v>32</v>
      </c>
      <c r="F68" s="2" t="n">
        <v>7918</v>
      </c>
      <c r="G68" s="2" t="n">
        <v>277</v>
      </c>
      <c r="H68" s="2" t="n">
        <v>29</v>
      </c>
      <c r="I68" s="2" t="n">
        <v>8120</v>
      </c>
      <c r="J68" s="2" t="n">
        <v>4141.2</v>
      </c>
      <c r="K68" s="2" t="n">
        <v>8</v>
      </c>
      <c r="L68" s="2" t="n">
        <v>12100</v>
      </c>
    </row>
    <row r="69" customFormat="false" ht="15" hidden="false" customHeight="false" outlineLevel="0" collapsed="false">
      <c r="A69" s="2" t="s">
        <v>97</v>
      </c>
      <c r="B69" s="2" t="s">
        <v>18</v>
      </c>
      <c r="C69" s="2" t="s">
        <v>30</v>
      </c>
      <c r="D69" s="2" t="s">
        <v>28</v>
      </c>
      <c r="E69" s="2" t="s">
        <v>32</v>
      </c>
      <c r="F69" s="2" t="n">
        <v>8091</v>
      </c>
      <c r="G69" s="2" t="n">
        <v>331</v>
      </c>
      <c r="H69" s="2" t="n">
        <v>39</v>
      </c>
      <c r="I69" s="2" t="n">
        <v>13455</v>
      </c>
      <c r="J69" s="2" t="n">
        <v>7467.53</v>
      </c>
      <c r="K69" s="2" t="n">
        <v>5</v>
      </c>
      <c r="L69" s="2" t="n">
        <v>13900</v>
      </c>
    </row>
    <row r="70" customFormat="false" ht="15" hidden="false" customHeight="false" outlineLevel="0" collapsed="false">
      <c r="A70" s="2" t="s">
        <v>98</v>
      </c>
      <c r="B70" s="2" t="s">
        <v>20</v>
      </c>
      <c r="C70" s="2" t="s">
        <v>30</v>
      </c>
      <c r="D70" s="2" t="s">
        <v>28</v>
      </c>
      <c r="E70" s="2" t="s">
        <v>32</v>
      </c>
      <c r="F70" s="2" t="n">
        <v>8264</v>
      </c>
      <c r="G70" s="2" t="n">
        <v>388</v>
      </c>
      <c r="H70" s="2" t="n">
        <v>52</v>
      </c>
      <c r="I70" s="2" t="n">
        <v>7800</v>
      </c>
      <c r="J70" s="2" t="n">
        <v>4680</v>
      </c>
      <c r="K70" s="2" t="n">
        <v>6</v>
      </c>
      <c r="L70" s="2" t="n">
        <v>8500</v>
      </c>
    </row>
    <row r="71" customFormat="false" ht="15" hidden="false" customHeight="false" outlineLevel="0" collapsed="false">
      <c r="A71" s="2" t="s">
        <v>99</v>
      </c>
      <c r="B71" s="2" t="s">
        <v>22</v>
      </c>
      <c r="C71" s="2" t="s">
        <v>35</v>
      </c>
      <c r="D71" s="2" t="s">
        <v>28</v>
      </c>
      <c r="E71" s="2" t="s">
        <v>32</v>
      </c>
      <c r="F71" s="2" t="n">
        <v>8437</v>
      </c>
      <c r="G71" s="2" t="n">
        <v>447</v>
      </c>
      <c r="H71" s="2" t="n">
        <v>67</v>
      </c>
      <c r="I71" s="2" t="n">
        <v>14405</v>
      </c>
      <c r="J71" s="2" t="n">
        <v>7346.55</v>
      </c>
      <c r="K71" s="2" t="n">
        <v>0</v>
      </c>
      <c r="L71" s="2" t="n">
        <v>10300</v>
      </c>
    </row>
    <row r="72" customFormat="false" ht="15" hidden="false" customHeight="false" outlineLevel="0" collapsed="false">
      <c r="A72" s="2" t="s">
        <v>100</v>
      </c>
      <c r="B72" s="2" t="s">
        <v>25</v>
      </c>
      <c r="C72" s="2" t="s">
        <v>35</v>
      </c>
      <c r="D72" s="2" t="s">
        <v>37</v>
      </c>
      <c r="E72" s="2" t="s">
        <v>42</v>
      </c>
      <c r="F72" s="2" t="n">
        <v>8610</v>
      </c>
      <c r="G72" s="2" t="n">
        <v>507</v>
      </c>
      <c r="H72" s="2" t="n">
        <v>45</v>
      </c>
      <c r="I72" s="2" t="n">
        <v>12600</v>
      </c>
      <c r="J72" s="2" t="n">
        <v>6993</v>
      </c>
      <c r="K72" s="2" t="n">
        <v>2</v>
      </c>
      <c r="L72" s="2" t="n">
        <v>12100</v>
      </c>
    </row>
    <row r="73" customFormat="false" ht="15" hidden="false" customHeight="false" outlineLevel="0" collapsed="false">
      <c r="A73" s="2" t="s">
        <v>101</v>
      </c>
      <c r="B73" s="2" t="s">
        <v>27</v>
      </c>
      <c r="C73" s="2" t="s">
        <v>35</v>
      </c>
      <c r="D73" s="2" t="s">
        <v>37</v>
      </c>
      <c r="E73" s="2" t="s">
        <v>42</v>
      </c>
      <c r="F73" s="2" t="n">
        <v>8783</v>
      </c>
      <c r="G73" s="2" t="n">
        <v>570</v>
      </c>
      <c r="H73" s="2" t="n">
        <v>59</v>
      </c>
      <c r="I73" s="2" t="n">
        <v>20355</v>
      </c>
      <c r="J73" s="2" t="n">
        <v>12213</v>
      </c>
      <c r="K73" s="2" t="n">
        <v>13</v>
      </c>
      <c r="L73" s="2" t="n">
        <v>13900</v>
      </c>
    </row>
    <row r="74" customFormat="false" ht="15" hidden="false" customHeight="false" outlineLevel="0" collapsed="false">
      <c r="A74" s="2" t="s">
        <v>102</v>
      </c>
      <c r="B74" s="2" t="s">
        <v>13</v>
      </c>
      <c r="C74" s="2" t="s">
        <v>14</v>
      </c>
      <c r="D74" s="2" t="s">
        <v>37</v>
      </c>
      <c r="E74" s="2" t="s">
        <v>42</v>
      </c>
      <c r="F74" s="2" t="n">
        <v>8956</v>
      </c>
      <c r="G74" s="2" t="n">
        <v>313</v>
      </c>
      <c r="H74" s="2" t="n">
        <v>37</v>
      </c>
      <c r="I74" s="2" t="n">
        <v>5550</v>
      </c>
      <c r="J74" s="2" t="n">
        <v>2830.5</v>
      </c>
      <c r="K74" s="2" t="n">
        <v>8</v>
      </c>
      <c r="L74" s="2" t="n">
        <v>8500</v>
      </c>
    </row>
    <row r="75" customFormat="false" ht="15" hidden="false" customHeight="false" outlineLevel="0" collapsed="false">
      <c r="A75" s="2" t="s">
        <v>103</v>
      </c>
      <c r="B75" s="2" t="s">
        <v>18</v>
      </c>
      <c r="C75" s="2" t="s">
        <v>14</v>
      </c>
      <c r="D75" s="2" t="s">
        <v>37</v>
      </c>
      <c r="E75" s="2" t="s">
        <v>42</v>
      </c>
      <c r="F75" s="2" t="n">
        <v>9129</v>
      </c>
      <c r="G75" s="2" t="n">
        <v>374</v>
      </c>
      <c r="H75" s="2" t="n">
        <v>50</v>
      </c>
      <c r="I75" s="2" t="n">
        <v>10750</v>
      </c>
      <c r="J75" s="2" t="n">
        <v>5966.25</v>
      </c>
      <c r="K75" s="2" t="n">
        <v>15</v>
      </c>
      <c r="L75" s="2" t="n">
        <v>10300</v>
      </c>
    </row>
    <row r="76" customFormat="false" ht="15" hidden="false" customHeight="false" outlineLevel="0" collapsed="false">
      <c r="A76" s="2" t="s">
        <v>104</v>
      </c>
      <c r="B76" s="2" t="s">
        <v>20</v>
      </c>
      <c r="C76" s="2" t="s">
        <v>14</v>
      </c>
      <c r="D76" s="2" t="s">
        <v>37</v>
      </c>
      <c r="E76" s="2" t="s">
        <v>42</v>
      </c>
      <c r="F76" s="2" t="n">
        <v>9302</v>
      </c>
      <c r="G76" s="2" t="n">
        <v>437</v>
      </c>
      <c r="H76" s="2" t="n">
        <v>65</v>
      </c>
      <c r="I76" s="2" t="n">
        <v>18200</v>
      </c>
      <c r="J76" s="2" t="n">
        <v>10920</v>
      </c>
      <c r="K76" s="2" t="n">
        <v>2</v>
      </c>
      <c r="L76" s="2" t="n">
        <v>12100</v>
      </c>
    </row>
    <row r="77" customFormat="false" ht="15" hidden="false" customHeight="false" outlineLevel="0" collapsed="false">
      <c r="A77" s="2" t="s">
        <v>105</v>
      </c>
      <c r="B77" s="2" t="s">
        <v>22</v>
      </c>
      <c r="C77" s="2" t="s">
        <v>23</v>
      </c>
      <c r="D77" s="2" t="s">
        <v>44</v>
      </c>
      <c r="E77" s="2" t="s">
        <v>42</v>
      </c>
      <c r="F77" s="2" t="n">
        <v>9475</v>
      </c>
      <c r="G77" s="2" t="n">
        <v>502</v>
      </c>
      <c r="H77" s="2" t="n">
        <v>45</v>
      </c>
      <c r="I77" s="2" t="n">
        <v>15525</v>
      </c>
      <c r="J77" s="2" t="n">
        <v>7917.75</v>
      </c>
      <c r="K77" s="2" t="n">
        <v>1</v>
      </c>
      <c r="L77" s="2" t="n">
        <v>13900</v>
      </c>
    </row>
    <row r="78" customFormat="false" ht="15" hidden="false" customHeight="false" outlineLevel="0" collapsed="false">
      <c r="A78" s="2" t="s">
        <v>106</v>
      </c>
      <c r="B78" s="2" t="s">
        <v>25</v>
      </c>
      <c r="C78" s="2" t="s">
        <v>23</v>
      </c>
      <c r="D78" s="2" t="s">
        <v>44</v>
      </c>
      <c r="E78" s="2" t="s">
        <v>42</v>
      </c>
      <c r="F78" s="2" t="n">
        <v>9648</v>
      </c>
      <c r="G78" s="2" t="n">
        <v>569</v>
      </c>
      <c r="H78" s="2" t="n">
        <v>59</v>
      </c>
      <c r="I78" s="2" t="n">
        <v>8850</v>
      </c>
      <c r="J78" s="2" t="n">
        <v>4911.75</v>
      </c>
      <c r="K78" s="2" t="n">
        <v>8</v>
      </c>
      <c r="L78" s="2" t="n">
        <v>8500</v>
      </c>
    </row>
    <row r="79" customFormat="false" ht="15" hidden="false" customHeight="false" outlineLevel="0" collapsed="false">
      <c r="A79" s="2" t="s">
        <v>107</v>
      </c>
      <c r="B79" s="2" t="s">
        <v>27</v>
      </c>
      <c r="C79" s="2" t="s">
        <v>23</v>
      </c>
      <c r="D79" s="2" t="s">
        <v>44</v>
      </c>
      <c r="E79" s="2" t="s">
        <v>51</v>
      </c>
      <c r="F79" s="2" t="n">
        <v>9821</v>
      </c>
      <c r="G79" s="2" t="n">
        <v>638</v>
      </c>
      <c r="H79" s="2" t="n">
        <v>76</v>
      </c>
      <c r="I79" s="2" t="n">
        <v>16340</v>
      </c>
      <c r="J79" s="2" t="n">
        <v>9804</v>
      </c>
      <c r="K79" s="2" t="n">
        <v>23</v>
      </c>
      <c r="L79" s="2" t="n">
        <v>10300</v>
      </c>
    </row>
    <row r="80" customFormat="false" ht="15" hidden="false" customHeight="false" outlineLevel="0" collapsed="false">
      <c r="A80" s="2" t="s">
        <v>108</v>
      </c>
      <c r="B80" s="2" t="s">
        <v>13</v>
      </c>
      <c r="C80" s="2" t="s">
        <v>30</v>
      </c>
      <c r="D80" s="2" t="s">
        <v>44</v>
      </c>
      <c r="E80" s="2" t="s">
        <v>51</v>
      </c>
      <c r="F80" s="2" t="n">
        <v>9994</v>
      </c>
      <c r="G80" s="2" t="n">
        <v>349</v>
      </c>
      <c r="H80" s="2" t="n">
        <v>47</v>
      </c>
      <c r="I80" s="2" t="n">
        <v>13160</v>
      </c>
      <c r="J80" s="2" t="n">
        <v>6711.6</v>
      </c>
      <c r="K80" s="2" t="n">
        <v>10</v>
      </c>
      <c r="L80" s="2" t="n">
        <v>12100</v>
      </c>
    </row>
    <row r="81" customFormat="false" ht="15" hidden="false" customHeight="false" outlineLevel="0" collapsed="false">
      <c r="A81" s="2" t="s">
        <v>109</v>
      </c>
      <c r="B81" s="2" t="s">
        <v>18</v>
      </c>
      <c r="C81" s="2" t="s">
        <v>30</v>
      </c>
      <c r="D81" s="2" t="s">
        <v>44</v>
      </c>
      <c r="E81" s="2" t="s">
        <v>51</v>
      </c>
      <c r="F81" s="2" t="n">
        <v>10167</v>
      </c>
      <c r="G81" s="2" t="n">
        <v>416</v>
      </c>
      <c r="H81" s="2" t="n">
        <v>62</v>
      </c>
      <c r="I81" s="2" t="n">
        <v>21390</v>
      </c>
      <c r="J81" s="2" t="n">
        <v>11871.45</v>
      </c>
      <c r="K81" s="2" t="n">
        <v>6</v>
      </c>
      <c r="L81" s="2" t="n">
        <v>13900</v>
      </c>
    </row>
    <row r="82" customFormat="false" ht="15" hidden="false" customHeight="false" outlineLevel="0" collapsed="false">
      <c r="A82" s="2" t="s">
        <v>110</v>
      </c>
      <c r="B82" s="2" t="s">
        <v>20</v>
      </c>
      <c r="C82" s="2" t="s">
        <v>30</v>
      </c>
      <c r="D82" s="2" t="s">
        <v>15</v>
      </c>
      <c r="E82" s="2" t="s">
        <v>51</v>
      </c>
      <c r="F82" s="2" t="n">
        <v>10340</v>
      </c>
      <c r="G82" s="2" t="n">
        <v>485</v>
      </c>
      <c r="H82" s="2" t="n">
        <v>43</v>
      </c>
      <c r="I82" s="2" t="n">
        <v>6450</v>
      </c>
      <c r="J82" s="2" t="n">
        <v>3870</v>
      </c>
      <c r="K82" s="2" t="n">
        <v>0</v>
      </c>
      <c r="L82" s="2" t="n">
        <v>8500</v>
      </c>
    </row>
    <row r="83" customFormat="false" ht="15" hidden="false" customHeight="false" outlineLevel="0" collapsed="false">
      <c r="A83" s="2" t="s">
        <v>111</v>
      </c>
      <c r="B83" s="2" t="s">
        <v>22</v>
      </c>
      <c r="C83" s="2" t="s">
        <v>35</v>
      </c>
      <c r="D83" s="2" t="s">
        <v>15</v>
      </c>
      <c r="E83" s="2" t="s">
        <v>51</v>
      </c>
      <c r="F83" s="2" t="n">
        <v>3513</v>
      </c>
      <c r="G83" s="2" t="n">
        <v>186</v>
      </c>
      <c r="H83" s="2" t="n">
        <v>19</v>
      </c>
      <c r="I83" s="2" t="n">
        <v>4085</v>
      </c>
      <c r="J83" s="2" t="n">
        <v>2083.35</v>
      </c>
      <c r="K83" s="2" t="n">
        <v>5</v>
      </c>
      <c r="L83" s="2" t="n">
        <v>10300</v>
      </c>
    </row>
    <row r="84" customFormat="false" ht="15" hidden="false" customHeight="false" outlineLevel="0" collapsed="false">
      <c r="A84" s="2" t="s">
        <v>112</v>
      </c>
      <c r="B84" s="2" t="s">
        <v>25</v>
      </c>
      <c r="C84" s="2" t="s">
        <v>35</v>
      </c>
      <c r="D84" s="2" t="s">
        <v>15</v>
      </c>
      <c r="E84" s="2" t="s">
        <v>51</v>
      </c>
      <c r="F84" s="2" t="n">
        <v>3686</v>
      </c>
      <c r="G84" s="2" t="n">
        <v>217</v>
      </c>
      <c r="H84" s="2" t="n">
        <v>26</v>
      </c>
      <c r="I84" s="2" t="n">
        <v>7280</v>
      </c>
      <c r="J84" s="2" t="n">
        <v>4040.4</v>
      </c>
      <c r="K84" s="2" t="n">
        <v>3</v>
      </c>
      <c r="L84" s="2" t="n">
        <v>12100</v>
      </c>
    </row>
    <row r="85" customFormat="false" ht="15" hidden="false" customHeight="false" outlineLevel="0" collapsed="false">
      <c r="A85" s="2" t="s">
        <v>113</v>
      </c>
      <c r="B85" s="2" t="s">
        <v>27</v>
      </c>
      <c r="C85" s="2" t="s">
        <v>35</v>
      </c>
      <c r="D85" s="2" t="s">
        <v>15</v>
      </c>
      <c r="E85" s="2" t="s">
        <v>51</v>
      </c>
      <c r="F85" s="2" t="n">
        <v>3859</v>
      </c>
      <c r="G85" s="2" t="n">
        <v>250</v>
      </c>
      <c r="H85" s="2" t="n">
        <v>33</v>
      </c>
      <c r="I85" s="2" t="n">
        <v>11385</v>
      </c>
      <c r="J85" s="2" t="n">
        <v>6831</v>
      </c>
      <c r="K85" s="2" t="n">
        <v>9</v>
      </c>
      <c r="L85" s="2" t="n">
        <v>13900</v>
      </c>
    </row>
    <row r="86" customFormat="false" ht="15" hidden="false" customHeight="false" outlineLevel="0" collapsed="false">
      <c r="A86" s="2" t="s">
        <v>114</v>
      </c>
      <c r="B86" s="2" t="s">
        <v>13</v>
      </c>
      <c r="C86" s="2" t="s">
        <v>14</v>
      </c>
      <c r="D86" s="2" t="s">
        <v>15</v>
      </c>
      <c r="E86" s="2" t="s">
        <v>16</v>
      </c>
      <c r="F86" s="2" t="n">
        <v>4032</v>
      </c>
      <c r="G86" s="2" t="n">
        <v>141</v>
      </c>
      <c r="H86" s="2" t="n">
        <v>21</v>
      </c>
      <c r="I86" s="2" t="n">
        <v>3150</v>
      </c>
      <c r="J86" s="2" t="n">
        <v>1606.5</v>
      </c>
      <c r="K86" s="2" t="n">
        <v>4</v>
      </c>
      <c r="L86" s="2" t="n">
        <v>8500</v>
      </c>
    </row>
    <row r="87" customFormat="false" ht="15" hidden="false" customHeight="false" outlineLevel="0" collapsed="false">
      <c r="A87" s="2" t="s">
        <v>115</v>
      </c>
      <c r="B87" s="2" t="s">
        <v>18</v>
      </c>
      <c r="C87" s="2" t="s">
        <v>14</v>
      </c>
      <c r="D87" s="2" t="s">
        <v>28</v>
      </c>
      <c r="E87" s="2" t="s">
        <v>16</v>
      </c>
      <c r="F87" s="2" t="n">
        <v>4205</v>
      </c>
      <c r="G87" s="2" t="n">
        <v>172</v>
      </c>
      <c r="H87" s="2" t="n">
        <v>15</v>
      </c>
      <c r="I87" s="2" t="n">
        <v>3225</v>
      </c>
      <c r="J87" s="2" t="n">
        <v>1789.88</v>
      </c>
      <c r="K87" s="2" t="n">
        <v>3</v>
      </c>
      <c r="L87" s="2" t="n">
        <v>10300</v>
      </c>
    </row>
    <row r="88" customFormat="false" ht="15" hidden="false" customHeight="false" outlineLevel="0" collapsed="false">
      <c r="A88" s="2" t="s">
        <v>116</v>
      </c>
      <c r="B88" s="2" t="s">
        <v>20</v>
      </c>
      <c r="C88" s="2" t="s">
        <v>14</v>
      </c>
      <c r="D88" s="2" t="s">
        <v>28</v>
      </c>
      <c r="E88" s="2" t="s">
        <v>16</v>
      </c>
      <c r="F88" s="2" t="n">
        <v>4378</v>
      </c>
      <c r="G88" s="2" t="n">
        <v>205</v>
      </c>
      <c r="H88" s="2" t="n">
        <v>21</v>
      </c>
      <c r="I88" s="2" t="n">
        <v>5880</v>
      </c>
      <c r="J88" s="2" t="n">
        <v>3528</v>
      </c>
      <c r="K88" s="2" t="n">
        <v>2</v>
      </c>
      <c r="L88" s="2" t="n">
        <v>12100</v>
      </c>
    </row>
    <row r="89" customFormat="false" ht="15" hidden="false" customHeight="false" outlineLevel="0" collapsed="false">
      <c r="A89" s="2" t="s">
        <v>117</v>
      </c>
      <c r="B89" s="2" t="s">
        <v>22</v>
      </c>
      <c r="C89" s="2" t="s">
        <v>23</v>
      </c>
      <c r="D89" s="2" t="s">
        <v>28</v>
      </c>
      <c r="E89" s="2" t="s">
        <v>16</v>
      </c>
      <c r="F89" s="2" t="n">
        <v>4551</v>
      </c>
      <c r="G89" s="2" t="n">
        <v>241</v>
      </c>
      <c r="H89" s="2" t="n">
        <v>28</v>
      </c>
      <c r="I89" s="2" t="n">
        <v>9660</v>
      </c>
      <c r="J89" s="2" t="n">
        <v>4926.6</v>
      </c>
      <c r="K89" s="2" t="n">
        <v>1</v>
      </c>
      <c r="L89" s="2" t="n">
        <v>13900</v>
      </c>
    </row>
    <row r="90" customFormat="false" ht="15" hidden="false" customHeight="false" outlineLevel="0" collapsed="false">
      <c r="A90" s="2" t="s">
        <v>118</v>
      </c>
      <c r="B90" s="2" t="s">
        <v>25</v>
      </c>
      <c r="C90" s="2" t="s">
        <v>23</v>
      </c>
      <c r="D90" s="2" t="s">
        <v>28</v>
      </c>
      <c r="E90" s="2" t="s">
        <v>16</v>
      </c>
      <c r="F90" s="2" t="n">
        <v>4724</v>
      </c>
      <c r="G90" s="2" t="n">
        <v>278</v>
      </c>
      <c r="H90" s="2" t="n">
        <v>37</v>
      </c>
      <c r="I90" s="2" t="n">
        <v>5550</v>
      </c>
      <c r="J90" s="2" t="n">
        <v>3080.25</v>
      </c>
      <c r="K90" s="2" t="n">
        <v>4</v>
      </c>
      <c r="L90" s="2" t="n">
        <v>8500</v>
      </c>
    </row>
    <row r="91" customFormat="false" ht="15" hidden="false" customHeight="false" outlineLevel="0" collapsed="false">
      <c r="A91" s="2" t="s">
        <v>119</v>
      </c>
      <c r="B91" s="2" t="s">
        <v>27</v>
      </c>
      <c r="C91" s="2" t="s">
        <v>23</v>
      </c>
      <c r="D91" s="2" t="s">
        <v>28</v>
      </c>
      <c r="E91" s="2" t="s">
        <v>16</v>
      </c>
      <c r="F91" s="2" t="n">
        <v>4897</v>
      </c>
      <c r="G91" s="2" t="n">
        <v>318</v>
      </c>
      <c r="H91" s="2" t="n">
        <v>47</v>
      </c>
      <c r="I91" s="2" t="n">
        <v>10105</v>
      </c>
      <c r="J91" s="2" t="n">
        <v>6063</v>
      </c>
      <c r="K91" s="2" t="n">
        <v>11</v>
      </c>
      <c r="L91" s="2" t="n">
        <v>10300</v>
      </c>
    </row>
    <row r="92" customFormat="false" ht="15" hidden="false" customHeight="false" outlineLevel="0" collapsed="false">
      <c r="A92" s="2" t="s">
        <v>120</v>
      </c>
      <c r="B92" s="2" t="s">
        <v>13</v>
      </c>
      <c r="C92" s="2" t="s">
        <v>30</v>
      </c>
      <c r="D92" s="2" t="s">
        <v>37</v>
      </c>
      <c r="E92" s="2" t="s">
        <v>16</v>
      </c>
      <c r="F92" s="2" t="n">
        <v>5070</v>
      </c>
      <c r="G92" s="2" t="n">
        <v>177</v>
      </c>
      <c r="H92" s="2" t="n">
        <v>15</v>
      </c>
      <c r="I92" s="2" t="n">
        <v>4200</v>
      </c>
      <c r="J92" s="2" t="n">
        <v>2142</v>
      </c>
      <c r="K92" s="2" t="n">
        <v>0</v>
      </c>
      <c r="L92" s="2" t="n">
        <v>12100</v>
      </c>
    </row>
    <row r="93" customFormat="false" ht="15" hidden="false" customHeight="false" outlineLevel="0" collapsed="false">
      <c r="A93" s="2" t="s">
        <v>121</v>
      </c>
      <c r="B93" s="2" t="s">
        <v>18</v>
      </c>
      <c r="C93" s="2" t="s">
        <v>30</v>
      </c>
      <c r="D93" s="2" t="s">
        <v>37</v>
      </c>
      <c r="E93" s="2" t="s">
        <v>32</v>
      </c>
      <c r="F93" s="2" t="n">
        <v>5243</v>
      </c>
      <c r="G93" s="2" t="n">
        <v>214</v>
      </c>
      <c r="H93" s="2" t="n">
        <v>22</v>
      </c>
      <c r="I93" s="2" t="n">
        <v>7590</v>
      </c>
      <c r="J93" s="2" t="n">
        <v>4212.45</v>
      </c>
      <c r="K93" s="2" t="n">
        <v>1</v>
      </c>
      <c r="L93" s="2" t="n">
        <v>13900</v>
      </c>
    </row>
    <row r="94" customFormat="false" ht="15" hidden="false" customHeight="false" outlineLevel="0" collapsed="false">
      <c r="A94" s="2" t="s">
        <v>122</v>
      </c>
      <c r="B94" s="2" t="s">
        <v>20</v>
      </c>
      <c r="C94" s="2" t="s">
        <v>30</v>
      </c>
      <c r="D94" s="2" t="s">
        <v>37</v>
      </c>
      <c r="E94" s="2" t="s">
        <v>32</v>
      </c>
      <c r="F94" s="2" t="n">
        <v>5416</v>
      </c>
      <c r="G94" s="2" t="n">
        <v>254</v>
      </c>
      <c r="H94" s="2" t="n">
        <v>30</v>
      </c>
      <c r="I94" s="2" t="n">
        <v>4500</v>
      </c>
      <c r="J94" s="2" t="n">
        <v>2700</v>
      </c>
      <c r="K94" s="2" t="n">
        <v>1</v>
      </c>
      <c r="L94" s="2" t="n">
        <v>8500</v>
      </c>
    </row>
    <row r="95" customFormat="false" ht="15" hidden="false" customHeight="false" outlineLevel="0" collapsed="false">
      <c r="A95" s="2" t="s">
        <v>123</v>
      </c>
      <c r="B95" s="2" t="s">
        <v>22</v>
      </c>
      <c r="C95" s="2" t="s">
        <v>35</v>
      </c>
      <c r="D95" s="2" t="s">
        <v>37</v>
      </c>
      <c r="E95" s="2" t="s">
        <v>32</v>
      </c>
      <c r="F95" s="2" t="n">
        <v>5589</v>
      </c>
      <c r="G95" s="2" t="n">
        <v>296</v>
      </c>
      <c r="H95" s="2" t="n">
        <v>39</v>
      </c>
      <c r="I95" s="2" t="n">
        <v>8385</v>
      </c>
      <c r="J95" s="2" t="n">
        <v>4276.35</v>
      </c>
      <c r="K95" s="2" t="n">
        <v>13</v>
      </c>
      <c r="L95" s="2" t="n">
        <v>10300</v>
      </c>
    </row>
    <row r="96" customFormat="false" ht="15" hidden="false" customHeight="false" outlineLevel="0" collapsed="false">
      <c r="A96" s="2" t="s">
        <v>124</v>
      </c>
      <c r="B96" s="2" t="s">
        <v>25</v>
      </c>
      <c r="C96" s="2" t="s">
        <v>35</v>
      </c>
      <c r="D96" s="2" t="s">
        <v>37</v>
      </c>
      <c r="E96" s="2" t="s">
        <v>32</v>
      </c>
      <c r="F96" s="2" t="n">
        <v>5762</v>
      </c>
      <c r="G96" s="2" t="n">
        <v>339</v>
      </c>
      <c r="H96" s="2" t="n">
        <v>50</v>
      </c>
      <c r="I96" s="2" t="n">
        <v>14000</v>
      </c>
      <c r="J96" s="2" t="n">
        <v>7770</v>
      </c>
      <c r="K96" s="2" t="n">
        <v>10</v>
      </c>
      <c r="L96" s="2" t="n">
        <v>12100</v>
      </c>
    </row>
    <row r="97" customFormat="false" ht="15" hidden="false" customHeight="false" outlineLevel="0" collapsed="false">
      <c r="A97" s="2" t="s">
        <v>125</v>
      </c>
      <c r="B97" s="2" t="s">
        <v>27</v>
      </c>
      <c r="C97" s="2" t="s">
        <v>35</v>
      </c>
      <c r="D97" s="2" t="s">
        <v>44</v>
      </c>
      <c r="E97" s="2" t="s">
        <v>32</v>
      </c>
      <c r="F97" s="2" t="n">
        <v>5935</v>
      </c>
      <c r="G97" s="2" t="n">
        <v>385</v>
      </c>
      <c r="H97" s="2" t="n">
        <v>34</v>
      </c>
      <c r="I97" s="2" t="n">
        <v>11730</v>
      </c>
      <c r="J97" s="2" t="n">
        <v>7038</v>
      </c>
      <c r="K97" s="2" t="n">
        <v>9</v>
      </c>
      <c r="L97" s="2" t="n">
        <v>13900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1</v>
      </c>
      <c r="B1" s="1" t="s">
        <v>126</v>
      </c>
      <c r="C1" s="1" t="s">
        <v>127</v>
      </c>
      <c r="D1" s="1" t="s">
        <v>128</v>
      </c>
    </row>
    <row r="2" customFormat="false" ht="15" hidden="false" customHeight="false" outlineLevel="0" collapsed="false">
      <c r="A2" s="2" t="s">
        <v>13</v>
      </c>
      <c r="B2" s="3" t="n">
        <f aca="false">SUMIF(Campaign_Data!B$2:B$97,A2,Campaign_Data!I$2:I$97)</f>
        <v>90150</v>
      </c>
      <c r="C2" s="3" t="n">
        <f aca="false">SUMIF(Campaign_Data!B$2:B$97,A2,Campaign_Data!J$2:J$97)</f>
        <v>45976.5</v>
      </c>
      <c r="D2" s="3" t="n">
        <f aca="false">B2-C2</f>
        <v>44173.5</v>
      </c>
    </row>
    <row r="3" customFormat="false" ht="15" hidden="false" customHeight="false" outlineLevel="0" collapsed="false">
      <c r="A3" s="2" t="s">
        <v>18</v>
      </c>
      <c r="B3" s="3" t="n">
        <f aca="false">SUMIF(Campaign_Data!B$2:B$97,A3,Campaign_Data!I$2:I$97)</f>
        <v>145565</v>
      </c>
      <c r="C3" s="3" t="n">
        <f aca="false">SUMIF(Campaign_Data!B$2:B$97,A3,Campaign_Data!J$2:J$97)</f>
        <v>80788.61</v>
      </c>
      <c r="D3" s="3" t="n">
        <f aca="false">B3-C3</f>
        <v>64776.39</v>
      </c>
    </row>
    <row r="4" customFormat="false" ht="15" hidden="false" customHeight="false" outlineLevel="0" collapsed="false">
      <c r="A4" s="2" t="s">
        <v>20</v>
      </c>
      <c r="B4" s="3" t="n">
        <f aca="false">SUMIF(Campaign_Data!B$2:B$97,A4,Campaign_Data!I$2:I$97)</f>
        <v>130880</v>
      </c>
      <c r="C4" s="3" t="n">
        <f aca="false">SUMIF(Campaign_Data!B$2:B$97,A4,Campaign_Data!J$2:J$97)</f>
        <v>78528</v>
      </c>
      <c r="D4" s="3" t="n">
        <f aca="false">B4-C4</f>
        <v>52352</v>
      </c>
    </row>
    <row r="5" customFormat="false" ht="15" hidden="false" customHeight="false" outlineLevel="0" collapsed="false">
      <c r="A5" s="2" t="s">
        <v>22</v>
      </c>
      <c r="B5" s="3" t="n">
        <f aca="false">SUMIF(Campaign_Data!B$2:B$97,A5,Campaign_Data!I$2:I$97)</f>
        <v>189070</v>
      </c>
      <c r="C5" s="3" t="n">
        <f aca="false">SUMIF(Campaign_Data!B$2:B$97,A5,Campaign_Data!J$2:J$97)</f>
        <v>96425.7</v>
      </c>
      <c r="D5" s="3" t="n">
        <f aca="false">B5-C5</f>
        <v>92644.3</v>
      </c>
    </row>
    <row r="6" customFormat="false" ht="15" hidden="false" customHeight="false" outlineLevel="0" collapsed="false">
      <c r="A6" s="2" t="s">
        <v>25</v>
      </c>
      <c r="B6" s="3" t="n">
        <f aca="false">SUMIF(Campaign_Data!B$2:B$97,A6,Campaign_Data!I$2:I$97)</f>
        <v>159920</v>
      </c>
      <c r="C6" s="3" t="n">
        <f aca="false">SUMIF(Campaign_Data!B$2:B$97,A6,Campaign_Data!J$2:J$97)</f>
        <v>88755.6</v>
      </c>
      <c r="D6" s="3" t="n">
        <f aca="false">B6-C6</f>
        <v>71164.4</v>
      </c>
    </row>
    <row r="7" customFormat="false" ht="15" hidden="false" customHeight="false" outlineLevel="0" collapsed="false">
      <c r="A7" s="2" t="s">
        <v>27</v>
      </c>
      <c r="B7" s="3" t="n">
        <f aca="false">SUMIF(Campaign_Data!B$2:B$97,A7,Campaign_Data!I$2:I$97)</f>
        <v>217705</v>
      </c>
      <c r="C7" s="3" t="n">
        <f aca="false">SUMIF(Campaign_Data!B$2:B$97,A7,Campaign_Data!J$2:J$97)</f>
        <v>130623</v>
      </c>
      <c r="D7" s="3" t="n">
        <f aca="false">B7-C7</f>
        <v>87082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3</v>
      </c>
      <c r="B1" s="1" t="s">
        <v>126</v>
      </c>
      <c r="C1" s="1" t="s">
        <v>127</v>
      </c>
      <c r="D1" s="1" t="s">
        <v>128</v>
      </c>
    </row>
    <row r="2" customFormat="false" ht="15" hidden="false" customHeight="false" outlineLevel="0" collapsed="false">
      <c r="A2" s="2" t="s">
        <v>15</v>
      </c>
      <c r="B2" s="3" t="n">
        <f aca="false">SUMIF(Campaign_Data!D$2:D$97,A2,Campaign_Data!I$2:I$97)</f>
        <v>191300</v>
      </c>
      <c r="C2" s="3" t="n">
        <f aca="false">SUMIF(Campaign_Data!D$2:D$97,A2,Campaign_Data!J$2:J$97)</f>
        <v>106755.61</v>
      </c>
      <c r="D2" s="3" t="n">
        <f aca="false">B2-C2</f>
        <v>84544.39</v>
      </c>
    </row>
    <row r="3" customFormat="false" ht="15" hidden="false" customHeight="false" outlineLevel="0" collapsed="false">
      <c r="A3" s="2" t="s">
        <v>28</v>
      </c>
      <c r="B3" s="3" t="n">
        <f aca="false">SUMIF(Campaign_Data!D$2:D$97,A3,Campaign_Data!I$2:I$97)</f>
        <v>214860</v>
      </c>
      <c r="C3" s="3" t="n">
        <f aca="false">SUMIF(Campaign_Data!D$2:D$97,A3,Campaign_Data!J$2:J$97)</f>
        <v>119870.34</v>
      </c>
      <c r="D3" s="3" t="n">
        <f aca="false">B3-C3</f>
        <v>94989.66</v>
      </c>
    </row>
    <row r="4" customFormat="false" ht="15" hidden="false" customHeight="false" outlineLevel="0" collapsed="false">
      <c r="A4" s="2" t="s">
        <v>37</v>
      </c>
      <c r="B4" s="3" t="n">
        <f aca="false">SUMIF(Campaign_Data!D$2:D$97,A4,Campaign_Data!I$2:I$97)</f>
        <v>253330</v>
      </c>
      <c r="C4" s="3" t="n">
        <f aca="false">SUMIF(Campaign_Data!D$2:D$97,A4,Campaign_Data!J$2:J$97)</f>
        <v>141918.68</v>
      </c>
      <c r="D4" s="3" t="n">
        <f aca="false">B4-C4</f>
        <v>111411.32</v>
      </c>
    </row>
    <row r="5" customFormat="false" ht="15" hidden="false" customHeight="false" outlineLevel="0" collapsed="false">
      <c r="A5" s="2" t="s">
        <v>44</v>
      </c>
      <c r="B5" s="3" t="n">
        <f aca="false">SUMIF(Campaign_Data!D$2:D$97,A5,Campaign_Data!I$2:I$97)</f>
        <v>273800</v>
      </c>
      <c r="C5" s="3" t="n">
        <f aca="false">SUMIF(Campaign_Data!D$2:D$97,A5,Campaign_Data!J$2:J$97)</f>
        <v>152552.78</v>
      </c>
      <c r="D5" s="3" t="n">
        <f aca="false">B5-C5</f>
        <v>121247.22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</row>
    <row r="2" customFormat="false" ht="15" hidden="false" customHeight="false" outlineLevel="0" collapsed="false">
      <c r="A2" s="2" t="s">
        <v>134</v>
      </c>
      <c r="B2" s="2" t="n">
        <v>12</v>
      </c>
      <c r="C2" s="2" t="n">
        <v>10</v>
      </c>
      <c r="D2" s="3" t="n">
        <f aca="false">B2-C2</f>
        <v>2</v>
      </c>
      <c r="E2" s="4" t="n">
        <f aca="false">IFERROR(C2/B2,0)</f>
        <v>0.833333333333333</v>
      </c>
    </row>
    <row r="3" customFormat="false" ht="15" hidden="false" customHeight="false" outlineLevel="0" collapsed="false">
      <c r="A3" s="2" t="s">
        <v>135</v>
      </c>
      <c r="B3" s="2" t="n">
        <v>16</v>
      </c>
      <c r="C3" s="2" t="n">
        <v>14</v>
      </c>
      <c r="D3" s="3" t="n">
        <f aca="false">B3-C3</f>
        <v>2</v>
      </c>
      <c r="E3" s="4" t="n">
        <f aca="false">IFERROR(C3/B3,0)</f>
        <v>0.875</v>
      </c>
    </row>
    <row r="4" customFormat="false" ht="15" hidden="false" customHeight="false" outlineLevel="0" collapsed="false">
      <c r="A4" s="2" t="s">
        <v>136</v>
      </c>
      <c r="B4" s="2" t="n">
        <v>8</v>
      </c>
      <c r="C4" s="2" t="n">
        <v>8</v>
      </c>
      <c r="D4" s="3" t="n">
        <f aca="false">B4-C4</f>
        <v>0</v>
      </c>
      <c r="E4" s="4" t="n">
        <f aca="false">IFERROR(C4/B4,0)</f>
        <v>1</v>
      </c>
    </row>
    <row r="5" customFormat="false" ht="15" hidden="false" customHeight="false" outlineLevel="0" collapsed="false">
      <c r="A5" s="2" t="s">
        <v>137</v>
      </c>
      <c r="B5" s="2" t="n">
        <v>20</v>
      </c>
      <c r="C5" s="2" t="n">
        <v>15</v>
      </c>
      <c r="D5" s="3" t="n">
        <f aca="false">B5-C5</f>
        <v>5</v>
      </c>
      <c r="E5" s="4" t="n">
        <f aca="false">IFERROR(C5/B5,0)</f>
        <v>0.75</v>
      </c>
    </row>
    <row r="6" customFormat="false" ht="15" hidden="false" customHeight="false" outlineLevel="0" collapsed="false">
      <c r="A6" s="2" t="s">
        <v>138</v>
      </c>
      <c r="B6" s="3" t="n">
        <f aca="false">SUM(B2:B5)</f>
        <v>56</v>
      </c>
      <c r="C6" s="3" t="n">
        <f aca="false">SUM(C2:C5)</f>
        <v>47</v>
      </c>
      <c r="D6" s="3" t="n">
        <f aca="false">SUM(D2:D5)</f>
        <v>9</v>
      </c>
      <c r="E6" s="4" t="n">
        <f aca="false">IFERROR(C6/B6,0)</f>
        <v>0.839285714285714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1" t="s">
        <v>139</v>
      </c>
      <c r="B1" s="1" t="s">
        <v>140</v>
      </c>
      <c r="C1" s="1" t="s">
        <v>141</v>
      </c>
    </row>
    <row r="2" customFormat="false" ht="15" hidden="false" customHeight="false" outlineLevel="0" collapsed="false">
      <c r="A2" s="2" t="s">
        <v>126</v>
      </c>
      <c r="B2" s="3" t="n">
        <f aca="false">SUM(Campaign_Data!I2:I97)</f>
        <v>933290</v>
      </c>
      <c r="C2" s="2" t="s">
        <v>142</v>
      </c>
    </row>
    <row r="3" customFormat="false" ht="15" hidden="false" customHeight="false" outlineLevel="0" collapsed="false">
      <c r="A3" s="2" t="s">
        <v>127</v>
      </c>
      <c r="B3" s="3" t="n">
        <f aca="false">SUM(Campaign_Data!J2:J97)</f>
        <v>521097.41</v>
      </c>
      <c r="C3" s="2" t="s">
        <v>143</v>
      </c>
    </row>
    <row r="4" customFormat="false" ht="23.85" hidden="false" customHeight="false" outlineLevel="0" collapsed="false">
      <c r="A4" s="2" t="s">
        <v>128</v>
      </c>
      <c r="B4" s="3" t="n">
        <f aca="false">B2-B3</f>
        <v>412192.59</v>
      </c>
      <c r="C4" s="2" t="s">
        <v>144</v>
      </c>
    </row>
    <row r="5" customFormat="false" ht="15" hidden="false" customHeight="false" outlineLevel="0" collapsed="false">
      <c r="A5" s="2" t="s">
        <v>145</v>
      </c>
      <c r="B5" s="4" t="n">
        <f aca="false">HR_Readiness!E6</f>
        <v>0.839285714285714</v>
      </c>
      <c r="C5" s="2" t="s">
        <v>146</v>
      </c>
    </row>
    <row r="6" customFormat="false" ht="15" hidden="false" customHeight="false" outlineLevel="0" collapsed="false">
      <c r="A6" s="2" t="s">
        <v>147</v>
      </c>
      <c r="B6" s="3" t="n">
        <f aca="false">COUNTA(Campaign_Data!A2:A97)</f>
        <v>96</v>
      </c>
      <c r="C6" s="2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24"/>
  </cols>
  <sheetData>
    <row r="1" customFormat="false" ht="15" hidden="false" customHeight="false" outlineLevel="0" collapsed="false">
      <c r="A1" s="1" t="s">
        <v>149</v>
      </c>
      <c r="B1" s="1" t="s">
        <v>150</v>
      </c>
      <c r="C1" s="1" t="s">
        <v>129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customFormat="false" ht="23.85" hidden="false" customHeight="false" outlineLevel="0" collapsed="false">
      <c r="A2" s="2" t="s">
        <v>157</v>
      </c>
      <c r="B2" s="2" t="s">
        <v>158</v>
      </c>
      <c r="C2" s="2" t="s">
        <v>134</v>
      </c>
      <c r="D2" s="2" t="s">
        <v>159</v>
      </c>
      <c r="E2" s="2" t="s">
        <v>160</v>
      </c>
      <c r="F2" s="2" t="s">
        <v>161</v>
      </c>
      <c r="G2" s="2" t="s">
        <v>162</v>
      </c>
      <c r="H2" s="2" t="s">
        <v>163</v>
      </c>
      <c r="I2" s="2" t="s">
        <v>164</v>
      </c>
    </row>
    <row r="3" customFormat="false" ht="23.85" hidden="false" customHeight="false" outlineLevel="0" collapsed="false">
      <c r="A3" s="2" t="s">
        <v>165</v>
      </c>
      <c r="B3" s="2" t="s">
        <v>158</v>
      </c>
      <c r="C3" s="2" t="s">
        <v>135</v>
      </c>
      <c r="D3" s="2" t="s">
        <v>166</v>
      </c>
      <c r="E3" s="2" t="s">
        <v>167</v>
      </c>
      <c r="F3" s="2" t="s">
        <v>168</v>
      </c>
      <c r="G3" s="2" t="s">
        <v>169</v>
      </c>
      <c r="H3" s="2" t="s">
        <v>163</v>
      </c>
      <c r="I3" s="2" t="s">
        <v>164</v>
      </c>
    </row>
    <row r="4" customFormat="false" ht="23.85" hidden="false" customHeight="false" outlineLevel="0" collapsed="false">
      <c r="A4" s="2" t="s">
        <v>170</v>
      </c>
      <c r="B4" s="2" t="s">
        <v>158</v>
      </c>
      <c r="C4" s="2" t="s">
        <v>136</v>
      </c>
      <c r="D4" s="2" t="s">
        <v>171</v>
      </c>
      <c r="E4" s="2" t="s">
        <v>172</v>
      </c>
      <c r="F4" s="2" t="s">
        <v>173</v>
      </c>
      <c r="G4" s="2" t="s">
        <v>169</v>
      </c>
      <c r="H4" s="2" t="s">
        <v>163</v>
      </c>
      <c r="I4" s="2" t="s">
        <v>164</v>
      </c>
    </row>
    <row r="5" customFormat="false" ht="23.85" hidden="false" customHeight="false" outlineLevel="0" collapsed="false">
      <c r="A5" s="2" t="s">
        <v>174</v>
      </c>
      <c r="B5" s="2" t="s">
        <v>158</v>
      </c>
      <c r="C5" s="2" t="s">
        <v>137</v>
      </c>
      <c r="D5" s="2" t="s">
        <v>175</v>
      </c>
      <c r="E5" s="2" t="s">
        <v>176</v>
      </c>
      <c r="F5" s="2" t="s">
        <v>173</v>
      </c>
      <c r="G5" s="2" t="s">
        <v>169</v>
      </c>
      <c r="H5" s="2" t="s">
        <v>163</v>
      </c>
      <c r="I5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2026-09-07T01:30:26Z</dcterms:created>
  <dc:creator>openpyxl</dc:creator>
  <dc:description/>
  <dc:language>en-SG</dc:language>
  <cp:lastModifiedBy/>
  <dcterms:modified xsi:type="dcterms:W3CDTF">2026-09-07T01:30:27Z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