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_Data" sheetId="1" state="visible" r:id="rId3"/>
    <sheet name="Monthly_Finance" sheetId="2" state="visible" r:id="rId4"/>
    <sheet name="Channel_Finance" sheetId="3" state="visible" r:id="rId5"/>
    <sheet name="Scenarios" sheetId="4" state="visible" r:id="rId6"/>
    <sheet name="Read_Me" sheetId="5" state="visible" r:id="rId7"/>
  </sheets>
  <definedNames>
    <definedName function="false" hidden="true" localSheetId="2" name="_xlnm._FilterDatabase" vbProcedure="false">Channel_Finance!$A$1:$F$5</definedName>
    <definedName function="false" hidden="true" localSheetId="1" name="_xlnm._FilterDatabase" vbProcedure="false">Monthly_Finance!$A$1:$H$7</definedName>
    <definedName function="false" hidden="true" localSheetId="4" name="_xlnm._FilterDatabase" vbProcedure="false">Read_Me!$A$1:$B$12</definedName>
    <definedName function="false" hidden="true" localSheetId="0" name="_xlnm._FilterDatabase" vbProcedure="false">Sales_Data!$A$1:$O$97</definedName>
    <definedName function="false" hidden="true" localSheetId="3" name="_xlnm._FilterDatabase" vbProcedure="false">Scenarios!$A$1:$F$4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<sst xmlns="http://schemas.openxmlformats.org/spreadsheetml/2006/main" count="553" uniqueCount="164">
  <si>
    <t xml:space="preserve">Record_ID</t>
  </si>
  <si>
    <t xml:space="preserve">Month</t>
  </si>
  <si>
    <t xml:space="preserve">Region</t>
  </si>
  <si>
    <t xml:space="preserve">Channel</t>
  </si>
  <si>
    <t xml:space="preserve">Product</t>
  </si>
  <si>
    <t xml:space="preserve">Impressions</t>
  </si>
  <si>
    <t xml:space="preserve">Clicks</t>
  </si>
  <si>
    <t xml:space="preserve">Orders</t>
  </si>
  <si>
    <t xml:space="preserve">Revenue</t>
  </si>
  <si>
    <t xml:space="preserve">Cost</t>
  </si>
  <si>
    <t xml:space="preserve">Returns</t>
  </si>
  <si>
    <t xml:space="preserve">Target_Revenue</t>
  </si>
  <si>
    <t xml:space="preserve">Margin</t>
  </si>
  <si>
    <t xml:space="preserve">Margin_Rate</t>
  </si>
  <si>
    <t xml:space="preserve">Revenue_Variance</t>
  </si>
  <si>
    <t xml:space="preserve">CMP-0001</t>
  </si>
  <si>
    <t xml:space="preserve">Jan</t>
  </si>
  <si>
    <t xml:space="preserve">North</t>
  </si>
  <si>
    <t xml:space="preserve">Web</t>
  </si>
  <si>
    <t xml:space="preserve">Ergo Desk</t>
  </si>
  <si>
    <t xml:space="preserve">CMP-0002</t>
  </si>
  <si>
    <t xml:space="preserve">Feb</t>
  </si>
  <si>
    <t xml:space="preserve">CMP-0003</t>
  </si>
  <si>
    <t xml:space="preserve">Mar</t>
  </si>
  <si>
    <t xml:space="preserve">CMP-0004</t>
  </si>
  <si>
    <t xml:space="preserve">Apr</t>
  </si>
  <si>
    <t xml:space="preserve">South</t>
  </si>
  <si>
    <t xml:space="preserve">CMP-0005</t>
  </si>
  <si>
    <t xml:space="preserve">May</t>
  </si>
  <si>
    <t xml:space="preserve">CMP-0006</t>
  </si>
  <si>
    <t xml:space="preserve">Jun</t>
  </si>
  <si>
    <t xml:space="preserve">Partner</t>
  </si>
  <si>
    <t xml:space="preserve">CMP-0007</t>
  </si>
  <si>
    <t xml:space="preserve">East</t>
  </si>
  <si>
    <t xml:space="preserve">CMP-0008</t>
  </si>
  <si>
    <t xml:space="preserve">Task Chair</t>
  </si>
  <si>
    <t xml:space="preserve">CMP-0009</t>
  </si>
  <si>
    <t xml:space="preserve">CMP-0010</t>
  </si>
  <si>
    <t xml:space="preserve">West</t>
  </si>
  <si>
    <t xml:space="preserve">CMP-0011</t>
  </si>
  <si>
    <t xml:space="preserve">Retail</t>
  </si>
  <si>
    <t xml:space="preserve">CMP-0012</t>
  </si>
  <si>
    <t xml:space="preserve">CMP-0013</t>
  </si>
  <si>
    <t xml:space="preserve">CMP-0014</t>
  </si>
  <si>
    <t xml:space="preserve">CMP-0015</t>
  </si>
  <si>
    <t xml:space="preserve">Smart Lamp</t>
  </si>
  <si>
    <t xml:space="preserve">CMP-0016</t>
  </si>
  <si>
    <t xml:space="preserve">Events</t>
  </si>
  <si>
    <t xml:space="preserve">CMP-0017</t>
  </si>
  <si>
    <t xml:space="preserve">CMP-0018</t>
  </si>
  <si>
    <t xml:space="preserve">CMP-0019</t>
  </si>
  <si>
    <t xml:space="preserve">CMP-0020</t>
  </si>
  <si>
    <t xml:space="preserve">CMP-0021</t>
  </si>
  <si>
    <t xml:space="preserve">CMP-0022</t>
  </si>
  <si>
    <t xml:space="preserve">Air Purifier</t>
  </si>
  <si>
    <t xml:space="preserve">CMP-0023</t>
  </si>
  <si>
    <t xml:space="preserve">CMP-0024</t>
  </si>
  <si>
    <t xml:space="preserve">CMP-0025</t>
  </si>
  <si>
    <t xml:space="preserve">CMP-0026</t>
  </si>
  <si>
    <t xml:space="preserve">CMP-0027</t>
  </si>
  <si>
    <t xml:space="preserve">CMP-0028</t>
  </si>
  <si>
    <t xml:space="preserve">CMP-0029</t>
  </si>
  <si>
    <t xml:space="preserve">CMP-0030</t>
  </si>
  <si>
    <t xml:space="preserve">CMP-0031</t>
  </si>
  <si>
    <t xml:space="preserve">CMP-0032</t>
  </si>
  <si>
    <t xml:space="preserve">CMP-0033</t>
  </si>
  <si>
    <t xml:space="preserve">CMP-0034</t>
  </si>
  <si>
    <t xml:space="preserve">CMP-0035</t>
  </si>
  <si>
    <t xml:space="preserve">CMP-0036</t>
  </si>
  <si>
    <t xml:space="preserve">CMP-0037</t>
  </si>
  <si>
    <t xml:space="preserve">CMP-0038</t>
  </si>
  <si>
    <t xml:space="preserve">CMP-0039</t>
  </si>
  <si>
    <t xml:space="preserve">CMP-0040</t>
  </si>
  <si>
    <t xml:space="preserve">CMP-0041</t>
  </si>
  <si>
    <t xml:space="preserve">CMP-0042</t>
  </si>
  <si>
    <t xml:space="preserve">CMP-0043</t>
  </si>
  <si>
    <t xml:space="preserve">CMP-0044</t>
  </si>
  <si>
    <t xml:space="preserve">CMP-0045</t>
  </si>
  <si>
    <t xml:space="preserve">CMP-0046</t>
  </si>
  <si>
    <t xml:space="preserve">CMP-0047</t>
  </si>
  <si>
    <t xml:space="preserve">CMP-0048</t>
  </si>
  <si>
    <t xml:space="preserve">CMP-0049</t>
  </si>
  <si>
    <t xml:space="preserve">CMP-0050</t>
  </si>
  <si>
    <t xml:space="preserve">CMP-0051</t>
  </si>
  <si>
    <t xml:space="preserve">CMP-0052</t>
  </si>
  <si>
    <t xml:space="preserve">CMP-0053</t>
  </si>
  <si>
    <t xml:space="preserve">CMP-0054</t>
  </si>
  <si>
    <t xml:space="preserve">CMP-0055</t>
  </si>
  <si>
    <t xml:space="preserve">CMP-0056</t>
  </si>
  <si>
    <t xml:space="preserve">CMP-0057</t>
  </si>
  <si>
    <t xml:space="preserve">CMP-0058</t>
  </si>
  <si>
    <t xml:space="preserve">CMP-0059</t>
  </si>
  <si>
    <t xml:space="preserve">CMP-0060</t>
  </si>
  <si>
    <t xml:space="preserve">CMP-0061</t>
  </si>
  <si>
    <t xml:space="preserve">CMP-0062</t>
  </si>
  <si>
    <t xml:space="preserve">CMP-0063</t>
  </si>
  <si>
    <t xml:space="preserve">CMP-0064</t>
  </si>
  <si>
    <t xml:space="preserve">CMP-0065</t>
  </si>
  <si>
    <t xml:space="preserve">CMP-0066</t>
  </si>
  <si>
    <t xml:space="preserve">CMP-0067</t>
  </si>
  <si>
    <t xml:space="preserve">CMP-0068</t>
  </si>
  <si>
    <t xml:space="preserve">CMP-0069</t>
  </si>
  <si>
    <t xml:space="preserve">CMP-0070</t>
  </si>
  <si>
    <t xml:space="preserve">CMP-0071</t>
  </si>
  <si>
    <t xml:space="preserve">CMP-0072</t>
  </si>
  <si>
    <t xml:space="preserve">CMP-0073</t>
  </si>
  <si>
    <t xml:space="preserve">CMP-0074</t>
  </si>
  <si>
    <t xml:space="preserve">CMP-0075</t>
  </si>
  <si>
    <t xml:space="preserve">CMP-0076</t>
  </si>
  <si>
    <t xml:space="preserve">CMP-0077</t>
  </si>
  <si>
    <t xml:space="preserve">CMP-0078</t>
  </si>
  <si>
    <t xml:space="preserve">CMP-0079</t>
  </si>
  <si>
    <t xml:space="preserve">CMP-0080</t>
  </si>
  <si>
    <t xml:space="preserve">CMP-0081</t>
  </si>
  <si>
    <t xml:space="preserve">CMP-0082</t>
  </si>
  <si>
    <t xml:space="preserve">CMP-0083</t>
  </si>
  <si>
    <t xml:space="preserve">CMP-0084</t>
  </si>
  <si>
    <t xml:space="preserve">CMP-0085</t>
  </si>
  <si>
    <t xml:space="preserve">CMP-0086</t>
  </si>
  <si>
    <t xml:space="preserve">CMP-0087</t>
  </si>
  <si>
    <t xml:space="preserve">CMP-0088</t>
  </si>
  <si>
    <t xml:space="preserve">CMP-0089</t>
  </si>
  <si>
    <t xml:space="preserve">CMP-0090</t>
  </si>
  <si>
    <t xml:space="preserve">CMP-0091</t>
  </si>
  <si>
    <t xml:space="preserve">CMP-0092</t>
  </si>
  <si>
    <t xml:space="preserve">CMP-0093</t>
  </si>
  <si>
    <t xml:space="preserve">CMP-0094</t>
  </si>
  <si>
    <t xml:space="preserve">CMP-0095</t>
  </si>
  <si>
    <t xml:space="preserve">CMP-0096</t>
  </si>
  <si>
    <t xml:space="preserve">Target</t>
  </si>
  <si>
    <t xml:space="preserve">Variance</t>
  </si>
  <si>
    <t xml:space="preserve">MoM_Revenue</t>
  </si>
  <si>
    <t xml:space="preserve">N/A</t>
  </si>
  <si>
    <t xml:space="preserve">Revenue_per_Order</t>
  </si>
  <si>
    <t xml:space="preserve">Scenario</t>
  </si>
  <si>
    <t xml:space="preserve">Revenue_change_assumption</t>
  </si>
  <si>
    <t xml:space="preserve">Cost_ratio_assumption</t>
  </si>
  <si>
    <t xml:space="preserve">Downside</t>
  </si>
  <si>
    <t xml:space="preserve">Base</t>
  </si>
  <si>
    <t xml:space="preserve">Upside</t>
  </si>
  <si>
    <t xml:space="preserve">Lumina Living SW-2026</t>
  </si>
  <si>
    <t xml:space="preserve">Synthetic company finance training sample</t>
  </si>
  <si>
    <t xml:space="preserve">Grain</t>
  </si>
  <si>
    <t xml:space="preserve">One monthly region/channel/product sales summary; NOT one invoice</t>
  </si>
  <si>
    <t xml:space="preserve">Sales definition</t>
  </si>
  <si>
    <t xml:space="preserve">Revenue is sales value in SGD; Orders is order count</t>
  </si>
  <si>
    <t xml:space="preserve">Cost definition</t>
  </si>
  <si>
    <t xml:space="preserve">Illustrative recorded direct costs; no overhead, tax or cash-flow ledger</t>
  </si>
  <si>
    <t xml:space="preserve">Margin definition</t>
  </si>
  <si>
    <t xml:space="preserve">Revenue minus recorded cost; NOT net profit</t>
  </si>
  <si>
    <t xml:space="preserve">Period</t>
  </si>
  <si>
    <t xml:space="preserve">Jan–Jun 2026; October campaign is a separate plan</t>
  </si>
  <si>
    <t xml:space="preserve">Targets</t>
  </si>
  <si>
    <t xml:space="preserve">Synthetic per-record targets, aggregated with SUMIF</t>
  </si>
  <si>
    <t xml:space="preserve">Zero denominators</t>
  </si>
  <si>
    <t xml:space="preserve">Sample formula returns0; flag zero revenue/orders separately before interpretation</t>
  </si>
  <si>
    <t xml:space="preserve">Scenarios</t>
  </si>
  <si>
    <t xml:space="preserve">Assumed +/-10% revenue; historical blended cost ratio held constant; not a prediction</t>
  </si>
  <si>
    <t xml:space="preserve">Reconciliation</t>
  </si>
  <si>
    <t xml:space="preserve">Revenue933290; Cost521097.41; Margin412192.59;96rows</t>
  </si>
  <si>
    <t xml:space="preserve">Copilot task</t>
  </si>
  <si>
    <t xml:space="preserve">Explain formula logic, generate financial charts, cite ranges, challenge unsupported causes</t>
  </si>
  <si>
    <t xml:space="preserve">Sample status</t>
  </si>
  <si>
    <t xml:space="preserve">Prepared worked example; not a captured Copilot response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</si>
</sst>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(#,##0.00\)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Sales revenue and direct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Monthly_Finance!B1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Monthly_Finance!$A$2:$A$7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Monthly_Finance!$B$2:$B$7</c:f>
              <c:numCache>
                <c:formatCode>#,##0.00;[RED]\(#,##0.00\)</c:formatCode>
                <c:ptCount val="6"/>
                <c:pt idx="0">
                  <c:v>90150</c:v>
                </c:pt>
                <c:pt idx="1">
                  <c:v>145565</c:v>
                </c:pt>
                <c:pt idx="2">
                  <c:v>130880</c:v>
                </c:pt>
                <c:pt idx="3">
                  <c:v>189070</c:v>
                </c:pt>
                <c:pt idx="4">
                  <c:v>159920</c:v>
                </c:pt>
                <c:pt idx="5">
                  <c:v>217705</c:v>
                </c:pt>
              </c:numCache>
            </c:numRef>
          </c:val>
        </c:ser>
        <c:ser>
          <c:idx val="1"/>
          <c:order val="1"/>
          <c:tx>
            <c:strRef>
              <c:f>Monthly_Finance!C1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Monthly_Finance!$A$2:$A$7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Monthly_Finance!$C$2:$C$7</c:f>
              <c:numCache>
                <c:formatCode>#,##0.00;[RED]\(#,##0.00\)</c:formatCode>
                <c:ptCount val="6"/>
                <c:pt idx="0">
                  <c:v>45976.5</c:v>
                </c:pt>
                <c:pt idx="1">
                  <c:v>80788.61</c:v>
                </c:pt>
                <c:pt idx="2">
                  <c:v>78528</c:v>
                </c:pt>
                <c:pt idx="3">
                  <c:v>96425.7</c:v>
                </c:pt>
                <c:pt idx="4">
                  <c:v>88755.6</c:v>
                </c:pt>
                <c:pt idx="5">
                  <c:v>130623</c:v>
                </c:pt>
              </c:numCache>
            </c:numRef>
          </c:val>
        </c:ser>
        <c:gapWidth val="150"/>
        <c:overlap val="0"/>
        <c:axId val="42607020"/>
        <c:axId val="95241617"/>
      </c:barChart>
      <c:catAx>
        <c:axId val="426070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241617"/>
        <c:crosses val="autoZero"/>
        <c:auto val="1"/>
        <c:lblAlgn val="ctr"/>
        <c:lblOffset val="100"/>
        <c:noMultiLvlLbl val="0"/>
      </c:catAx>
      <c:valAx>
        <c:axId val="952416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SGD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6070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versus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Monthly_Finance!B1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Monthly_Finance!$A$2:$A$7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Monthly_Finance!$B$2:$B$7</c:f>
              <c:numCache>
                <c:formatCode>#,##0.00;[RED]\(#,##0.00\)</c:formatCode>
                <c:ptCount val="6"/>
                <c:pt idx="0">
                  <c:v>90150</c:v>
                </c:pt>
                <c:pt idx="1">
                  <c:v>145565</c:v>
                </c:pt>
                <c:pt idx="2">
                  <c:v>130880</c:v>
                </c:pt>
                <c:pt idx="3">
                  <c:v>189070</c:v>
                </c:pt>
                <c:pt idx="4">
                  <c:v>159920</c:v>
                </c:pt>
                <c:pt idx="5">
                  <c:v>217705</c:v>
                </c:pt>
              </c:numCache>
            </c:numRef>
          </c:val>
        </c:ser>
        <c:ser>
          <c:idx val="1"/>
          <c:order val="1"/>
          <c:tx>
            <c:strRef>
              <c:f>Monthly_Finance!E1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Monthly_Finance!$A$2:$A$7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Monthly_Finance!$E$2:$E$7</c:f>
              <c:numCache>
                <c:formatCode>#,##0.00;[RED]\(#,##0.00\)</c:formatCode>
                <c:ptCount val="6"/>
                <c:pt idx="0">
                  <c:v>164800</c:v>
                </c:pt>
                <c:pt idx="1">
                  <c:v>193600</c:v>
                </c:pt>
                <c:pt idx="2">
                  <c:v>164800</c:v>
                </c:pt>
                <c:pt idx="3">
                  <c:v>193600</c:v>
                </c:pt>
                <c:pt idx="4">
                  <c:v>164800</c:v>
                </c:pt>
                <c:pt idx="5">
                  <c:v>193600</c:v>
                </c:pt>
              </c:numCache>
            </c:numRef>
          </c:val>
        </c:ser>
        <c:gapWidth val="150"/>
        <c:overlap val="0"/>
        <c:axId val="71958475"/>
        <c:axId val="96905568"/>
      </c:barChart>
      <c:catAx>
        <c:axId val="719584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905568"/>
        <c:crosses val="autoZero"/>
        <c:auto val="1"/>
        <c:lblAlgn val="ctr"/>
        <c:lblOffset val="100"/>
        <c:noMultiLvlLbl val="0"/>
      </c:catAx>
      <c:valAx>
        <c:axId val="96905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SGD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9584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Channel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Channel_Finance!D1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Channel_Finance!$A$2:$A$5</c:f>
              <c:strCache>
                <c:ptCount val="4"/>
                <c:pt idx="0">
                  <c:v>Web</c:v>
                </c:pt>
                <c:pt idx="1">
                  <c:v>Partner</c:v>
                </c:pt>
                <c:pt idx="2">
                  <c:v>Retail</c:v>
                </c:pt>
                <c:pt idx="3">
                  <c:v>Events</c:v>
                </c:pt>
              </c:strCache>
            </c:strRef>
          </c:cat>
          <c:val>
            <c:numRef>
              <c:f>Channel_Finance!$D$2:$D$5</c:f>
              <c:numCache>
                <c:formatCode>#,##0.00;[RED]\(#,##0.00\)</c:formatCode>
                <c:ptCount val="4"/>
                <c:pt idx="0">
                  <c:v>84544.39</c:v>
                </c:pt>
                <c:pt idx="1">
                  <c:v>94989.66</c:v>
                </c:pt>
                <c:pt idx="2">
                  <c:v>111411.32</c:v>
                </c:pt>
                <c:pt idx="3">
                  <c:v>121247.22</c:v>
                </c:pt>
              </c:numCache>
            </c:numRef>
          </c:val>
        </c:ser>
        <c:gapWidth val="150"/>
        <c:overlap val="0"/>
        <c:axId val="81667057"/>
        <c:axId val="24467834"/>
      </c:barChart>
      <c:catAx>
        <c:axId val="816670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467834"/>
        <c:crosses val="autoZero"/>
        <c:auto val="1"/>
        <c:lblAlgn val="ctr"/>
        <c:lblOffset val="100"/>
        <c:noMultiLvlLbl val="0"/>
      </c:catAx>
      <c:valAx>
        <c:axId val="24467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SGD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6670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20</xdr:col>
      <xdr:colOff>473040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14708520" y="190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20</xdr:col>
      <xdr:colOff>473040</xdr:colOff>
      <xdr:row>34</xdr:row>
      <xdr:rowOff>1080</xdr:rowOff>
    </xdr:to>
    <xdr:graphicFrame>
      <xdr:nvGraphicFramePr>
        <xdr:cNvPr id="2" name="Chart 2"/>
        <xdr:cNvGraphicFramePr/>
      </xdr:nvGraphicFramePr>
      <xdr:xfrm>
        <a:off x="14708520" y="3238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18</xdr:col>
      <xdr:colOff>473040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11184120" y="190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5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2" t="n">
        <v>3500</v>
      </c>
      <c r="G2" s="2" t="n">
        <v>122</v>
      </c>
      <c r="H2" s="2" t="n">
        <v>10</v>
      </c>
      <c r="I2" s="2" t="n">
        <v>1500</v>
      </c>
      <c r="J2" s="2" t="n">
        <v>765</v>
      </c>
      <c r="K2" s="2" t="n">
        <v>0</v>
      </c>
      <c r="L2" s="2" t="n">
        <v>8500</v>
      </c>
      <c r="M2" s="2" t="n">
        <f aca="false">I2-J2</f>
        <v>735</v>
      </c>
      <c r="N2" s="3" t="n">
        <f aca="false">IF(I2=0,0,M2/I2)</f>
        <v>0.49</v>
      </c>
      <c r="O2" s="2" t="n">
        <f aca="false">I2-L2</f>
        <v>-7000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17</v>
      </c>
      <c r="D3" s="0" t="s">
        <v>18</v>
      </c>
      <c r="E3" s="0" t="s">
        <v>19</v>
      </c>
      <c r="F3" s="2" t="n">
        <v>3673</v>
      </c>
      <c r="G3" s="2" t="n">
        <v>150</v>
      </c>
      <c r="H3" s="2" t="n">
        <v>15</v>
      </c>
      <c r="I3" s="2" t="n">
        <v>3225</v>
      </c>
      <c r="J3" s="2" t="n">
        <v>1789.88</v>
      </c>
      <c r="K3" s="2" t="n">
        <v>3</v>
      </c>
      <c r="L3" s="2" t="n">
        <v>10300</v>
      </c>
      <c r="M3" s="2" t="n">
        <f aca="false">I3-J3</f>
        <v>1435.12</v>
      </c>
      <c r="N3" s="3" t="n">
        <f aca="false">IF(I3=0,0,M3/I3)</f>
        <v>0.444998449612403</v>
      </c>
      <c r="O3" s="2" t="n">
        <f aca="false">I3-L3</f>
        <v>-7075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17</v>
      </c>
      <c r="D4" s="0" t="s">
        <v>18</v>
      </c>
      <c r="E4" s="0" t="s">
        <v>19</v>
      </c>
      <c r="F4" s="2" t="n">
        <v>3846</v>
      </c>
      <c r="G4" s="2" t="n">
        <v>180</v>
      </c>
      <c r="H4" s="2" t="n">
        <v>21</v>
      </c>
      <c r="I4" s="2" t="n">
        <v>5880</v>
      </c>
      <c r="J4" s="2" t="n">
        <v>3528</v>
      </c>
      <c r="K4" s="2" t="n">
        <v>6</v>
      </c>
      <c r="L4" s="2" t="n">
        <v>12100</v>
      </c>
      <c r="M4" s="2" t="n">
        <f aca="false">I4-J4</f>
        <v>2352</v>
      </c>
      <c r="N4" s="3" t="n">
        <f aca="false">IF(I4=0,0,M4/I4)</f>
        <v>0.4</v>
      </c>
      <c r="O4" s="2" t="n">
        <f aca="false">I4-L4</f>
        <v>-6220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18</v>
      </c>
      <c r="E5" s="0" t="s">
        <v>19</v>
      </c>
      <c r="F5" s="2" t="n">
        <v>4019</v>
      </c>
      <c r="G5" s="2" t="n">
        <v>213</v>
      </c>
      <c r="H5" s="2" t="n">
        <v>28</v>
      </c>
      <c r="I5" s="2" t="n">
        <v>9660</v>
      </c>
      <c r="J5" s="2" t="n">
        <v>4926.6</v>
      </c>
      <c r="K5" s="2" t="n">
        <v>9</v>
      </c>
      <c r="L5" s="2" t="n">
        <v>13900</v>
      </c>
      <c r="M5" s="2" t="n">
        <f aca="false">I5-J5</f>
        <v>4733.4</v>
      </c>
      <c r="N5" s="3" t="n">
        <f aca="false">IF(I5=0,0,M5/I5)</f>
        <v>0.49</v>
      </c>
      <c r="O5" s="2" t="n">
        <f aca="false">I5-L5</f>
        <v>-4240</v>
      </c>
    </row>
    <row r="6" customFormat="false" ht="15" hidden="false" customHeight="false" outlineLevel="0" collapsed="false">
      <c r="A6" s="0" t="s">
        <v>27</v>
      </c>
      <c r="B6" s="0" t="s">
        <v>28</v>
      </c>
      <c r="C6" s="0" t="s">
        <v>26</v>
      </c>
      <c r="D6" s="0" t="s">
        <v>18</v>
      </c>
      <c r="E6" s="0" t="s">
        <v>19</v>
      </c>
      <c r="F6" s="2" t="n">
        <v>4192</v>
      </c>
      <c r="G6" s="2" t="n">
        <v>247</v>
      </c>
      <c r="H6" s="2" t="n">
        <v>37</v>
      </c>
      <c r="I6" s="2" t="n">
        <v>5550</v>
      </c>
      <c r="J6" s="2" t="n">
        <v>3080.25</v>
      </c>
      <c r="K6" s="2" t="n">
        <v>12</v>
      </c>
      <c r="L6" s="2" t="n">
        <v>8500</v>
      </c>
      <c r="M6" s="2" t="n">
        <f aca="false">I6-J6</f>
        <v>2469.75</v>
      </c>
      <c r="N6" s="3" t="n">
        <f aca="false">IF(I6=0,0,M6/I6)</f>
        <v>0.445</v>
      </c>
      <c r="O6" s="2" t="n">
        <f aca="false">I6-L6</f>
        <v>-2950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26</v>
      </c>
      <c r="D7" s="0" t="s">
        <v>31</v>
      </c>
      <c r="E7" s="0" t="s">
        <v>19</v>
      </c>
      <c r="F7" s="2" t="n">
        <v>4365</v>
      </c>
      <c r="G7" s="2" t="n">
        <v>283</v>
      </c>
      <c r="H7" s="2" t="n">
        <v>25</v>
      </c>
      <c r="I7" s="2" t="n">
        <v>5375</v>
      </c>
      <c r="J7" s="2" t="n">
        <v>3225</v>
      </c>
      <c r="K7" s="2" t="n">
        <v>6</v>
      </c>
      <c r="L7" s="2" t="n">
        <v>10300</v>
      </c>
      <c r="M7" s="2" t="n">
        <f aca="false">I7-J7</f>
        <v>2150</v>
      </c>
      <c r="N7" s="3" t="n">
        <f aca="false">IF(I7=0,0,M7/I7)</f>
        <v>0.4</v>
      </c>
      <c r="O7" s="2" t="n">
        <f aca="false">I7-L7</f>
        <v>-4925</v>
      </c>
    </row>
    <row r="8" customFormat="false" ht="15" hidden="false" customHeight="false" outlineLevel="0" collapsed="false">
      <c r="A8" s="0" t="s">
        <v>32</v>
      </c>
      <c r="B8" s="0" t="s">
        <v>16</v>
      </c>
      <c r="C8" s="0" t="s">
        <v>33</v>
      </c>
      <c r="D8" s="0" t="s">
        <v>31</v>
      </c>
      <c r="E8" s="0" t="s">
        <v>19</v>
      </c>
      <c r="F8" s="2" t="n">
        <v>4538</v>
      </c>
      <c r="G8" s="2" t="n">
        <v>158</v>
      </c>
      <c r="H8" s="2" t="n">
        <v>16</v>
      </c>
      <c r="I8" s="2" t="n">
        <v>4480</v>
      </c>
      <c r="J8" s="2" t="n">
        <v>2284.8</v>
      </c>
      <c r="K8" s="2" t="n">
        <v>0</v>
      </c>
      <c r="L8" s="2" t="n">
        <v>12100</v>
      </c>
      <c r="M8" s="2" t="n">
        <f aca="false">I8-J8</f>
        <v>2195.2</v>
      </c>
      <c r="N8" s="3" t="n">
        <f aca="false">IF(I8=0,0,M8/I8)</f>
        <v>0.49</v>
      </c>
      <c r="O8" s="2" t="n">
        <f aca="false">I8-L8</f>
        <v>-7620</v>
      </c>
    </row>
    <row r="9" customFormat="false" ht="15" hidden="false" customHeight="false" outlineLevel="0" collapsed="false">
      <c r="A9" s="0" t="s">
        <v>34</v>
      </c>
      <c r="B9" s="0" t="s">
        <v>21</v>
      </c>
      <c r="C9" s="0" t="s">
        <v>33</v>
      </c>
      <c r="D9" s="0" t="s">
        <v>31</v>
      </c>
      <c r="E9" s="0" t="s">
        <v>35</v>
      </c>
      <c r="F9" s="2" t="n">
        <v>4711</v>
      </c>
      <c r="G9" s="2" t="n">
        <v>193</v>
      </c>
      <c r="H9" s="2" t="n">
        <v>23</v>
      </c>
      <c r="I9" s="2" t="n">
        <v>7935</v>
      </c>
      <c r="J9" s="2" t="n">
        <v>4403.93</v>
      </c>
      <c r="K9" s="2" t="n">
        <v>5</v>
      </c>
      <c r="L9" s="2" t="n">
        <v>13900</v>
      </c>
      <c r="M9" s="2" t="n">
        <f aca="false">I9-J9</f>
        <v>3531.07</v>
      </c>
      <c r="N9" s="3" t="n">
        <f aca="false">IF(I9=0,0,M9/I9)</f>
        <v>0.444999369880277</v>
      </c>
      <c r="O9" s="2" t="n">
        <f aca="false">I9-L9</f>
        <v>-5965</v>
      </c>
    </row>
    <row r="10" customFormat="false" ht="15" hidden="false" customHeight="false" outlineLevel="0" collapsed="false">
      <c r="A10" s="0" t="s">
        <v>36</v>
      </c>
      <c r="B10" s="0" t="s">
        <v>23</v>
      </c>
      <c r="C10" s="0" t="s">
        <v>33</v>
      </c>
      <c r="D10" s="0" t="s">
        <v>31</v>
      </c>
      <c r="E10" s="0" t="s">
        <v>35</v>
      </c>
      <c r="F10" s="2" t="n">
        <v>4884</v>
      </c>
      <c r="G10" s="2" t="n">
        <v>229</v>
      </c>
      <c r="H10" s="2" t="n">
        <v>30</v>
      </c>
      <c r="I10" s="2" t="n">
        <v>4500</v>
      </c>
      <c r="J10" s="2" t="n">
        <v>2700</v>
      </c>
      <c r="K10" s="2" t="n">
        <v>2</v>
      </c>
      <c r="L10" s="2" t="n">
        <v>8500</v>
      </c>
      <c r="M10" s="2" t="n">
        <f aca="false">I10-J10</f>
        <v>1800</v>
      </c>
      <c r="N10" s="3" t="n">
        <f aca="false">IF(I10=0,0,M10/I10)</f>
        <v>0.4</v>
      </c>
      <c r="O10" s="2" t="n">
        <f aca="false">I10-L10</f>
        <v>-4000</v>
      </c>
    </row>
    <row r="11" customFormat="false" ht="15" hidden="false" customHeight="false" outlineLevel="0" collapsed="false">
      <c r="A11" s="0" t="s">
        <v>37</v>
      </c>
      <c r="B11" s="0" t="s">
        <v>25</v>
      </c>
      <c r="C11" s="0" t="s">
        <v>38</v>
      </c>
      <c r="D11" s="0" t="s">
        <v>31</v>
      </c>
      <c r="E11" s="0" t="s">
        <v>35</v>
      </c>
      <c r="F11" s="2" t="n">
        <v>5057</v>
      </c>
      <c r="G11" s="2" t="n">
        <v>268</v>
      </c>
      <c r="H11" s="2" t="n">
        <v>40</v>
      </c>
      <c r="I11" s="2" t="n">
        <v>8600</v>
      </c>
      <c r="J11" s="2" t="n">
        <v>4386</v>
      </c>
      <c r="K11" s="2" t="n">
        <v>13</v>
      </c>
      <c r="L11" s="2" t="n">
        <v>10300</v>
      </c>
      <c r="M11" s="2" t="n">
        <f aca="false">I11-J11</f>
        <v>4214</v>
      </c>
      <c r="N11" s="3" t="n">
        <f aca="false">IF(I11=0,0,M11/I11)</f>
        <v>0.49</v>
      </c>
      <c r="O11" s="2" t="n">
        <f aca="false">I11-L11</f>
        <v>-1700</v>
      </c>
    </row>
    <row r="12" customFormat="false" ht="15" hidden="false" customHeight="false" outlineLevel="0" collapsed="false">
      <c r="A12" s="0" t="s">
        <v>39</v>
      </c>
      <c r="B12" s="0" t="s">
        <v>28</v>
      </c>
      <c r="C12" s="0" t="s">
        <v>38</v>
      </c>
      <c r="D12" s="0" t="s">
        <v>40</v>
      </c>
      <c r="E12" s="0" t="s">
        <v>35</v>
      </c>
      <c r="F12" s="2" t="n">
        <v>5230</v>
      </c>
      <c r="G12" s="2" t="n">
        <v>308</v>
      </c>
      <c r="H12" s="2" t="n">
        <v>27</v>
      </c>
      <c r="I12" s="2" t="n">
        <v>7560</v>
      </c>
      <c r="J12" s="2" t="n">
        <v>4195.8</v>
      </c>
      <c r="K12" s="2" t="n">
        <v>0</v>
      </c>
      <c r="L12" s="2" t="n">
        <v>12100</v>
      </c>
      <c r="M12" s="2" t="n">
        <f aca="false">I12-J12</f>
        <v>3364.2</v>
      </c>
      <c r="N12" s="3" t="n">
        <f aca="false">IF(I12=0,0,M12/I12)</f>
        <v>0.445</v>
      </c>
      <c r="O12" s="2" t="n">
        <f aca="false">I12-L12</f>
        <v>-4540</v>
      </c>
    </row>
    <row r="13" customFormat="false" ht="15" hidden="false" customHeight="false" outlineLevel="0" collapsed="false">
      <c r="A13" s="0" t="s">
        <v>41</v>
      </c>
      <c r="B13" s="0" t="s">
        <v>30</v>
      </c>
      <c r="C13" s="0" t="s">
        <v>38</v>
      </c>
      <c r="D13" s="0" t="s">
        <v>40</v>
      </c>
      <c r="E13" s="0" t="s">
        <v>35</v>
      </c>
      <c r="F13" s="2" t="n">
        <v>5403</v>
      </c>
      <c r="G13" s="2" t="n">
        <v>351</v>
      </c>
      <c r="H13" s="2" t="n">
        <v>36</v>
      </c>
      <c r="I13" s="2" t="n">
        <v>12420</v>
      </c>
      <c r="J13" s="2" t="n">
        <v>7452</v>
      </c>
      <c r="K13" s="2" t="n">
        <v>7</v>
      </c>
      <c r="L13" s="2" t="n">
        <v>13900</v>
      </c>
      <c r="M13" s="2" t="n">
        <f aca="false">I13-J13</f>
        <v>4968</v>
      </c>
      <c r="N13" s="3" t="n">
        <f aca="false">IF(I13=0,0,M13/I13)</f>
        <v>0.4</v>
      </c>
      <c r="O13" s="2" t="n">
        <f aca="false">I13-L13</f>
        <v>-1480</v>
      </c>
    </row>
    <row r="14" customFormat="false" ht="15" hidden="false" customHeight="false" outlineLevel="0" collapsed="false">
      <c r="A14" s="0" t="s">
        <v>42</v>
      </c>
      <c r="B14" s="0" t="s">
        <v>16</v>
      </c>
      <c r="C14" s="0" t="s">
        <v>17</v>
      </c>
      <c r="D14" s="0" t="s">
        <v>40</v>
      </c>
      <c r="E14" s="0" t="s">
        <v>35</v>
      </c>
      <c r="F14" s="2" t="n">
        <v>5576</v>
      </c>
      <c r="G14" s="2" t="n">
        <v>195</v>
      </c>
      <c r="H14" s="2" t="n">
        <v>23</v>
      </c>
      <c r="I14" s="2" t="n">
        <v>3450</v>
      </c>
      <c r="J14" s="2" t="n">
        <v>1759.5</v>
      </c>
      <c r="K14" s="2" t="n">
        <v>4</v>
      </c>
      <c r="L14" s="2" t="n">
        <v>8500</v>
      </c>
      <c r="M14" s="2" t="n">
        <f aca="false">I14-J14</f>
        <v>1690.5</v>
      </c>
      <c r="N14" s="3" t="n">
        <f aca="false">IF(I14=0,0,M14/I14)</f>
        <v>0.49</v>
      </c>
      <c r="O14" s="2" t="n">
        <f aca="false">I14-L14</f>
        <v>-5050</v>
      </c>
    </row>
    <row r="15" customFormat="false" ht="15" hidden="false" customHeight="false" outlineLevel="0" collapsed="false">
      <c r="A15" s="0" t="s">
        <v>43</v>
      </c>
      <c r="B15" s="0" t="s">
        <v>21</v>
      </c>
      <c r="C15" s="0" t="s">
        <v>17</v>
      </c>
      <c r="D15" s="0" t="s">
        <v>40</v>
      </c>
      <c r="E15" s="0" t="s">
        <v>35</v>
      </c>
      <c r="F15" s="2" t="n">
        <v>5749</v>
      </c>
      <c r="G15" s="2" t="n">
        <v>235</v>
      </c>
      <c r="H15" s="2" t="n">
        <v>31</v>
      </c>
      <c r="I15" s="2" t="n">
        <v>6665</v>
      </c>
      <c r="J15" s="2" t="n">
        <v>3699.08</v>
      </c>
      <c r="K15" s="2" t="n">
        <v>6</v>
      </c>
      <c r="L15" s="2" t="n">
        <v>10300</v>
      </c>
      <c r="M15" s="2" t="n">
        <f aca="false">I15-J15</f>
        <v>2965.92</v>
      </c>
      <c r="N15" s="3" t="n">
        <f aca="false">IF(I15=0,0,M15/I15)</f>
        <v>0.444999249812453</v>
      </c>
      <c r="O15" s="2" t="n">
        <f aca="false">I15-L15</f>
        <v>-3635</v>
      </c>
    </row>
    <row r="16" customFormat="false" ht="15" hidden="false" customHeight="false" outlineLevel="0" collapsed="false">
      <c r="A16" s="0" t="s">
        <v>44</v>
      </c>
      <c r="B16" s="0" t="s">
        <v>23</v>
      </c>
      <c r="C16" s="0" t="s">
        <v>17</v>
      </c>
      <c r="D16" s="0" t="s">
        <v>40</v>
      </c>
      <c r="E16" s="0" t="s">
        <v>45</v>
      </c>
      <c r="F16" s="2" t="n">
        <v>5922</v>
      </c>
      <c r="G16" s="2" t="n">
        <v>278</v>
      </c>
      <c r="H16" s="2" t="n">
        <v>41</v>
      </c>
      <c r="I16" s="2" t="n">
        <v>11480</v>
      </c>
      <c r="J16" s="2" t="n">
        <v>6888</v>
      </c>
      <c r="K16" s="2" t="n">
        <v>0</v>
      </c>
      <c r="L16" s="2" t="n">
        <v>12100</v>
      </c>
      <c r="M16" s="2" t="n">
        <f aca="false">I16-J16</f>
        <v>4592</v>
      </c>
      <c r="N16" s="3" t="n">
        <f aca="false">IF(I16=0,0,M16/I16)</f>
        <v>0.4</v>
      </c>
      <c r="O16" s="2" t="n">
        <f aca="false">I16-L16</f>
        <v>-620</v>
      </c>
    </row>
    <row r="17" customFormat="false" ht="15" hidden="false" customHeight="false" outlineLevel="0" collapsed="false">
      <c r="A17" s="0" t="s">
        <v>46</v>
      </c>
      <c r="B17" s="0" t="s">
        <v>25</v>
      </c>
      <c r="C17" s="0" t="s">
        <v>26</v>
      </c>
      <c r="D17" s="0" t="s">
        <v>47</v>
      </c>
      <c r="E17" s="0" t="s">
        <v>45</v>
      </c>
      <c r="F17" s="2" t="n">
        <v>6095</v>
      </c>
      <c r="G17" s="2" t="n">
        <v>323</v>
      </c>
      <c r="H17" s="2" t="n">
        <v>29</v>
      </c>
      <c r="I17" s="2" t="n">
        <v>10005</v>
      </c>
      <c r="J17" s="2" t="n">
        <v>5102.55</v>
      </c>
      <c r="K17" s="2" t="n">
        <v>5</v>
      </c>
      <c r="L17" s="2" t="n">
        <v>13900</v>
      </c>
      <c r="M17" s="2" t="n">
        <f aca="false">I17-J17</f>
        <v>4902.45</v>
      </c>
      <c r="N17" s="3" t="n">
        <f aca="false">IF(I17=0,0,M17/I17)</f>
        <v>0.49</v>
      </c>
      <c r="O17" s="2" t="n">
        <f aca="false">I17-L17</f>
        <v>-3895</v>
      </c>
    </row>
    <row r="18" customFormat="false" ht="15" hidden="false" customHeight="false" outlineLevel="0" collapsed="false">
      <c r="A18" s="0" t="s">
        <v>48</v>
      </c>
      <c r="B18" s="0" t="s">
        <v>28</v>
      </c>
      <c r="C18" s="0" t="s">
        <v>26</v>
      </c>
      <c r="D18" s="0" t="s">
        <v>47</v>
      </c>
      <c r="E18" s="0" t="s">
        <v>45</v>
      </c>
      <c r="F18" s="2" t="n">
        <v>6268</v>
      </c>
      <c r="G18" s="2" t="n">
        <v>369</v>
      </c>
      <c r="H18" s="2" t="n">
        <v>38</v>
      </c>
      <c r="I18" s="2" t="n">
        <v>5700</v>
      </c>
      <c r="J18" s="2" t="n">
        <v>3163.5</v>
      </c>
      <c r="K18" s="2" t="n">
        <v>9</v>
      </c>
      <c r="L18" s="2" t="n">
        <v>8500</v>
      </c>
      <c r="M18" s="2" t="n">
        <f aca="false">I18-J18</f>
        <v>2536.5</v>
      </c>
      <c r="N18" s="3" t="n">
        <f aca="false">IF(I18=0,0,M18/I18)</f>
        <v>0.445</v>
      </c>
      <c r="O18" s="2" t="n">
        <f aca="false">I18-L18</f>
        <v>-2800</v>
      </c>
    </row>
    <row r="19" customFormat="false" ht="15" hidden="false" customHeight="false" outlineLevel="0" collapsed="false">
      <c r="A19" s="0" t="s">
        <v>49</v>
      </c>
      <c r="B19" s="0" t="s">
        <v>30</v>
      </c>
      <c r="C19" s="0" t="s">
        <v>26</v>
      </c>
      <c r="D19" s="0" t="s">
        <v>47</v>
      </c>
      <c r="E19" s="0" t="s">
        <v>45</v>
      </c>
      <c r="F19" s="2" t="n">
        <v>6441</v>
      </c>
      <c r="G19" s="2" t="n">
        <v>418</v>
      </c>
      <c r="H19" s="2" t="n">
        <v>50</v>
      </c>
      <c r="I19" s="2" t="n">
        <v>10750</v>
      </c>
      <c r="J19" s="2" t="n">
        <v>6450</v>
      </c>
      <c r="K19" s="2" t="n">
        <v>0</v>
      </c>
      <c r="L19" s="2" t="n">
        <v>10300</v>
      </c>
      <c r="M19" s="2" t="n">
        <f aca="false">I19-J19</f>
        <v>4300</v>
      </c>
      <c r="N19" s="3" t="n">
        <f aca="false">IF(I19=0,0,M19/I19)</f>
        <v>0.4</v>
      </c>
      <c r="O19" s="2" t="n">
        <f aca="false">I19-L19</f>
        <v>450</v>
      </c>
    </row>
    <row r="20" customFormat="false" ht="15" hidden="false" customHeight="false" outlineLevel="0" collapsed="false">
      <c r="A20" s="0" t="s">
        <v>50</v>
      </c>
      <c r="B20" s="0" t="s">
        <v>16</v>
      </c>
      <c r="C20" s="0" t="s">
        <v>33</v>
      </c>
      <c r="D20" s="0" t="s">
        <v>47</v>
      </c>
      <c r="E20" s="0" t="s">
        <v>45</v>
      </c>
      <c r="F20" s="2" t="n">
        <v>6614</v>
      </c>
      <c r="G20" s="2" t="n">
        <v>231</v>
      </c>
      <c r="H20" s="2" t="n">
        <v>31</v>
      </c>
      <c r="I20" s="2" t="n">
        <v>8680</v>
      </c>
      <c r="J20" s="2" t="n">
        <v>4426.8</v>
      </c>
      <c r="K20" s="2" t="n">
        <v>10</v>
      </c>
      <c r="L20" s="2" t="n">
        <v>12100</v>
      </c>
      <c r="M20" s="2" t="n">
        <f aca="false">I20-J20</f>
        <v>4253.2</v>
      </c>
      <c r="N20" s="3" t="n">
        <f aca="false">IF(I20=0,0,M20/I20)</f>
        <v>0.49</v>
      </c>
      <c r="O20" s="2" t="n">
        <f aca="false">I20-L20</f>
        <v>-3420</v>
      </c>
    </row>
    <row r="21" customFormat="false" ht="15" hidden="false" customHeight="false" outlineLevel="0" collapsed="false">
      <c r="A21" s="0" t="s">
        <v>51</v>
      </c>
      <c r="B21" s="0" t="s">
        <v>21</v>
      </c>
      <c r="C21" s="0" t="s">
        <v>33</v>
      </c>
      <c r="D21" s="0" t="s">
        <v>47</v>
      </c>
      <c r="E21" s="0" t="s">
        <v>45</v>
      </c>
      <c r="F21" s="2" t="n">
        <v>6787</v>
      </c>
      <c r="G21" s="2" t="n">
        <v>278</v>
      </c>
      <c r="H21" s="2" t="n">
        <v>41</v>
      </c>
      <c r="I21" s="2" t="n">
        <v>14145</v>
      </c>
      <c r="J21" s="2" t="n">
        <v>7850.48</v>
      </c>
      <c r="K21" s="2" t="n">
        <v>1</v>
      </c>
      <c r="L21" s="2" t="n">
        <v>13900</v>
      </c>
      <c r="M21" s="2" t="n">
        <f aca="false">I21-J21</f>
        <v>6294.52</v>
      </c>
      <c r="N21" s="3" t="n">
        <f aca="false">IF(I21=0,0,M21/I21)</f>
        <v>0.444999646518204</v>
      </c>
      <c r="O21" s="2" t="n">
        <f aca="false">I21-L21</f>
        <v>245</v>
      </c>
    </row>
    <row r="22" customFormat="false" ht="15" hidden="false" customHeight="false" outlineLevel="0" collapsed="false">
      <c r="A22" s="0" t="s">
        <v>52</v>
      </c>
      <c r="B22" s="0" t="s">
        <v>23</v>
      </c>
      <c r="C22" s="0" t="s">
        <v>33</v>
      </c>
      <c r="D22" s="0" t="s">
        <v>18</v>
      </c>
      <c r="E22" s="0" t="s">
        <v>45</v>
      </c>
      <c r="F22" s="2" t="n">
        <v>6960</v>
      </c>
      <c r="G22" s="2" t="n">
        <v>327</v>
      </c>
      <c r="H22" s="2" t="n">
        <v>29</v>
      </c>
      <c r="I22" s="2" t="n">
        <v>4350</v>
      </c>
      <c r="J22" s="2" t="n">
        <v>2610</v>
      </c>
      <c r="K22" s="2" t="n">
        <v>0</v>
      </c>
      <c r="L22" s="2" t="n">
        <v>8500</v>
      </c>
      <c r="M22" s="2" t="n">
        <f aca="false">I22-J22</f>
        <v>1740</v>
      </c>
      <c r="N22" s="3" t="n">
        <f aca="false">IF(I22=0,0,M22/I22)</f>
        <v>0.4</v>
      </c>
      <c r="O22" s="2" t="n">
        <f aca="false">I22-L22</f>
        <v>-4150</v>
      </c>
    </row>
    <row r="23" customFormat="false" ht="15" hidden="false" customHeight="false" outlineLevel="0" collapsed="false">
      <c r="A23" s="0" t="s">
        <v>53</v>
      </c>
      <c r="B23" s="0" t="s">
        <v>25</v>
      </c>
      <c r="C23" s="0" t="s">
        <v>38</v>
      </c>
      <c r="D23" s="0" t="s">
        <v>18</v>
      </c>
      <c r="E23" s="0" t="s">
        <v>54</v>
      </c>
      <c r="F23" s="2" t="n">
        <v>7133</v>
      </c>
      <c r="G23" s="2" t="n">
        <v>378</v>
      </c>
      <c r="H23" s="2" t="n">
        <v>39</v>
      </c>
      <c r="I23" s="2" t="n">
        <v>8385</v>
      </c>
      <c r="J23" s="2" t="n">
        <v>4276.35</v>
      </c>
      <c r="K23" s="2" t="n">
        <v>7</v>
      </c>
      <c r="L23" s="2" t="n">
        <v>10300</v>
      </c>
      <c r="M23" s="2" t="n">
        <f aca="false">I23-J23</f>
        <v>4108.65</v>
      </c>
      <c r="N23" s="3" t="n">
        <f aca="false">IF(I23=0,0,M23/I23)</f>
        <v>0.49</v>
      </c>
      <c r="O23" s="2" t="n">
        <f aca="false">I23-L23</f>
        <v>-1915</v>
      </c>
    </row>
    <row r="24" customFormat="false" ht="15" hidden="false" customHeight="false" outlineLevel="0" collapsed="false">
      <c r="A24" s="0" t="s">
        <v>55</v>
      </c>
      <c r="B24" s="0" t="s">
        <v>28</v>
      </c>
      <c r="C24" s="0" t="s">
        <v>38</v>
      </c>
      <c r="D24" s="0" t="s">
        <v>18</v>
      </c>
      <c r="E24" s="0" t="s">
        <v>54</v>
      </c>
      <c r="F24" s="2" t="n">
        <v>7306</v>
      </c>
      <c r="G24" s="2" t="n">
        <v>431</v>
      </c>
      <c r="H24" s="2" t="n">
        <v>51</v>
      </c>
      <c r="I24" s="2" t="n">
        <v>14280</v>
      </c>
      <c r="J24" s="2" t="n">
        <v>7925.4</v>
      </c>
      <c r="K24" s="2" t="n">
        <v>12</v>
      </c>
      <c r="L24" s="2" t="n">
        <v>12100</v>
      </c>
      <c r="M24" s="2" t="n">
        <f aca="false">I24-J24</f>
        <v>6354.6</v>
      </c>
      <c r="N24" s="3" t="n">
        <f aca="false">IF(I24=0,0,M24/I24)</f>
        <v>0.445</v>
      </c>
      <c r="O24" s="2" t="n">
        <f aca="false">I24-L24</f>
        <v>2180</v>
      </c>
    </row>
    <row r="25" customFormat="false" ht="15" hidden="false" customHeight="false" outlineLevel="0" collapsed="false">
      <c r="A25" s="0" t="s">
        <v>56</v>
      </c>
      <c r="B25" s="0" t="s">
        <v>30</v>
      </c>
      <c r="C25" s="0" t="s">
        <v>38</v>
      </c>
      <c r="D25" s="0" t="s">
        <v>18</v>
      </c>
      <c r="E25" s="0" t="s">
        <v>54</v>
      </c>
      <c r="F25" s="2" t="n">
        <v>7479</v>
      </c>
      <c r="G25" s="2" t="n">
        <v>486</v>
      </c>
      <c r="H25" s="2" t="n">
        <v>65</v>
      </c>
      <c r="I25" s="2" t="n">
        <v>22425</v>
      </c>
      <c r="J25" s="2" t="n">
        <v>13455</v>
      </c>
      <c r="K25" s="2" t="n">
        <v>3</v>
      </c>
      <c r="L25" s="2" t="n">
        <v>13900</v>
      </c>
      <c r="M25" s="2" t="n">
        <f aca="false">I25-J25</f>
        <v>8970</v>
      </c>
      <c r="N25" s="3" t="n">
        <f aca="false">IF(I25=0,0,M25/I25)</f>
        <v>0.4</v>
      </c>
      <c r="O25" s="2" t="n">
        <f aca="false">I25-L25</f>
        <v>8525</v>
      </c>
    </row>
    <row r="26" customFormat="false" ht="15" hidden="false" customHeight="false" outlineLevel="0" collapsed="false">
      <c r="A26" s="0" t="s">
        <v>57</v>
      </c>
      <c r="B26" s="0" t="s">
        <v>16</v>
      </c>
      <c r="C26" s="0" t="s">
        <v>17</v>
      </c>
      <c r="D26" s="0" t="s">
        <v>18</v>
      </c>
      <c r="E26" s="0" t="s">
        <v>54</v>
      </c>
      <c r="F26" s="2" t="n">
        <v>7652</v>
      </c>
      <c r="G26" s="2" t="n">
        <v>267</v>
      </c>
      <c r="H26" s="2" t="n">
        <v>40</v>
      </c>
      <c r="I26" s="2" t="n">
        <v>6000</v>
      </c>
      <c r="J26" s="2" t="n">
        <v>3060</v>
      </c>
      <c r="K26" s="2" t="n">
        <v>2</v>
      </c>
      <c r="L26" s="2" t="n">
        <v>8500</v>
      </c>
      <c r="M26" s="2" t="n">
        <f aca="false">I26-J26</f>
        <v>2940</v>
      </c>
      <c r="N26" s="3" t="n">
        <f aca="false">IF(I26=0,0,M26/I26)</f>
        <v>0.49</v>
      </c>
      <c r="O26" s="2" t="n">
        <f aca="false">I26-L26</f>
        <v>-2500</v>
      </c>
    </row>
    <row r="27" customFormat="false" ht="15" hidden="false" customHeight="false" outlineLevel="0" collapsed="false">
      <c r="A27" s="0" t="s">
        <v>58</v>
      </c>
      <c r="B27" s="0" t="s">
        <v>21</v>
      </c>
      <c r="C27" s="0" t="s">
        <v>17</v>
      </c>
      <c r="D27" s="0" t="s">
        <v>31</v>
      </c>
      <c r="E27" s="0" t="s">
        <v>54</v>
      </c>
      <c r="F27" s="2" t="n">
        <v>7825</v>
      </c>
      <c r="G27" s="2" t="n">
        <v>320</v>
      </c>
      <c r="H27" s="2" t="n">
        <v>28</v>
      </c>
      <c r="I27" s="2" t="n">
        <v>6020</v>
      </c>
      <c r="J27" s="2" t="n">
        <v>3341.1</v>
      </c>
      <c r="K27" s="2" t="n">
        <v>5</v>
      </c>
      <c r="L27" s="2" t="n">
        <v>10300</v>
      </c>
      <c r="M27" s="2" t="n">
        <f aca="false">I27-J27</f>
        <v>2678.9</v>
      </c>
      <c r="N27" s="3" t="n">
        <f aca="false">IF(I27=0,0,M27/I27)</f>
        <v>0.445</v>
      </c>
      <c r="O27" s="2" t="n">
        <f aca="false">I27-L27</f>
        <v>-4280</v>
      </c>
    </row>
    <row r="28" customFormat="false" ht="15" hidden="false" customHeight="false" outlineLevel="0" collapsed="false">
      <c r="A28" s="0" t="s">
        <v>59</v>
      </c>
      <c r="B28" s="0" t="s">
        <v>23</v>
      </c>
      <c r="C28" s="0" t="s">
        <v>17</v>
      </c>
      <c r="D28" s="0" t="s">
        <v>31</v>
      </c>
      <c r="E28" s="0" t="s">
        <v>54</v>
      </c>
      <c r="F28" s="2" t="n">
        <v>7998</v>
      </c>
      <c r="G28" s="2" t="n">
        <v>375</v>
      </c>
      <c r="H28" s="2" t="n">
        <v>39</v>
      </c>
      <c r="I28" s="2" t="n">
        <v>10920</v>
      </c>
      <c r="J28" s="2" t="n">
        <v>6552</v>
      </c>
      <c r="K28" s="2" t="n">
        <v>8</v>
      </c>
      <c r="L28" s="2" t="n">
        <v>12100</v>
      </c>
      <c r="M28" s="2" t="n">
        <f aca="false">I28-J28</f>
        <v>4368</v>
      </c>
      <c r="N28" s="3" t="n">
        <f aca="false">IF(I28=0,0,M28/I28)</f>
        <v>0.4</v>
      </c>
      <c r="O28" s="2" t="n">
        <f aca="false">I28-L28</f>
        <v>-1180</v>
      </c>
    </row>
    <row r="29" customFormat="false" ht="15" hidden="false" customHeight="false" outlineLevel="0" collapsed="false">
      <c r="A29" s="0" t="s">
        <v>60</v>
      </c>
      <c r="B29" s="0" t="s">
        <v>25</v>
      </c>
      <c r="C29" s="0" t="s">
        <v>26</v>
      </c>
      <c r="D29" s="0" t="s">
        <v>31</v>
      </c>
      <c r="E29" s="0" t="s">
        <v>54</v>
      </c>
      <c r="F29" s="2" t="n">
        <v>8171</v>
      </c>
      <c r="G29" s="2" t="n">
        <v>433</v>
      </c>
      <c r="H29" s="2" t="n">
        <v>51</v>
      </c>
      <c r="I29" s="2" t="n">
        <v>17595</v>
      </c>
      <c r="J29" s="2" t="n">
        <v>8973.45</v>
      </c>
      <c r="K29" s="2" t="n">
        <v>9</v>
      </c>
      <c r="L29" s="2" t="n">
        <v>13900</v>
      </c>
      <c r="M29" s="2" t="n">
        <f aca="false">I29-J29</f>
        <v>8621.55</v>
      </c>
      <c r="N29" s="3" t="n">
        <f aca="false">IF(I29=0,0,M29/I29)</f>
        <v>0.49</v>
      </c>
      <c r="O29" s="2" t="n">
        <f aca="false">I29-L29</f>
        <v>3695</v>
      </c>
    </row>
    <row r="30" customFormat="false" ht="15" hidden="false" customHeight="false" outlineLevel="0" collapsed="false">
      <c r="A30" s="0" t="s">
        <v>61</v>
      </c>
      <c r="B30" s="0" t="s">
        <v>28</v>
      </c>
      <c r="C30" s="0" t="s">
        <v>26</v>
      </c>
      <c r="D30" s="0" t="s">
        <v>31</v>
      </c>
      <c r="E30" s="0" t="s">
        <v>19</v>
      </c>
      <c r="F30" s="2" t="n">
        <v>8344</v>
      </c>
      <c r="G30" s="2" t="n">
        <v>492</v>
      </c>
      <c r="H30" s="2" t="n">
        <v>66</v>
      </c>
      <c r="I30" s="2" t="n">
        <v>9900</v>
      </c>
      <c r="J30" s="2" t="n">
        <v>5494.5</v>
      </c>
      <c r="K30" s="2" t="n">
        <v>15</v>
      </c>
      <c r="L30" s="2" t="n">
        <v>8500</v>
      </c>
      <c r="M30" s="2" t="n">
        <f aca="false">I30-J30</f>
        <v>4405.5</v>
      </c>
      <c r="N30" s="3" t="n">
        <f aca="false">IF(I30=0,0,M30/I30)</f>
        <v>0.445</v>
      </c>
      <c r="O30" s="2" t="n">
        <f aca="false">I30-L30</f>
        <v>1400</v>
      </c>
    </row>
    <row r="31" customFormat="false" ht="15" hidden="false" customHeight="false" outlineLevel="0" collapsed="false">
      <c r="A31" s="0" t="s">
        <v>62</v>
      </c>
      <c r="B31" s="0" t="s">
        <v>30</v>
      </c>
      <c r="C31" s="0" t="s">
        <v>26</v>
      </c>
      <c r="D31" s="0" t="s">
        <v>31</v>
      </c>
      <c r="E31" s="0" t="s">
        <v>19</v>
      </c>
      <c r="F31" s="2" t="n">
        <v>8517</v>
      </c>
      <c r="G31" s="2" t="n">
        <v>553</v>
      </c>
      <c r="H31" s="2" t="n">
        <v>82</v>
      </c>
      <c r="I31" s="2" t="n">
        <v>17630</v>
      </c>
      <c r="J31" s="2" t="n">
        <v>10578</v>
      </c>
      <c r="K31" s="2" t="n">
        <v>3</v>
      </c>
      <c r="L31" s="2" t="n">
        <v>10300</v>
      </c>
      <c r="M31" s="2" t="n">
        <f aca="false">I31-J31</f>
        <v>7052</v>
      </c>
      <c r="N31" s="3" t="n">
        <f aca="false">IF(I31=0,0,M31/I31)</f>
        <v>0.4</v>
      </c>
      <c r="O31" s="2" t="n">
        <f aca="false">I31-L31</f>
        <v>7330</v>
      </c>
    </row>
    <row r="32" customFormat="false" ht="15" hidden="false" customHeight="false" outlineLevel="0" collapsed="false">
      <c r="A32" s="0" t="s">
        <v>63</v>
      </c>
      <c r="B32" s="0" t="s">
        <v>16</v>
      </c>
      <c r="C32" s="0" t="s">
        <v>33</v>
      </c>
      <c r="D32" s="0" t="s">
        <v>40</v>
      </c>
      <c r="E32" s="0" t="s">
        <v>19</v>
      </c>
      <c r="F32" s="2" t="n">
        <v>8690</v>
      </c>
      <c r="G32" s="2" t="n">
        <v>304</v>
      </c>
      <c r="H32" s="2" t="n">
        <v>27</v>
      </c>
      <c r="I32" s="2" t="n">
        <v>7560</v>
      </c>
      <c r="J32" s="2" t="n">
        <v>3855.6</v>
      </c>
      <c r="K32" s="2" t="n">
        <v>0</v>
      </c>
      <c r="L32" s="2" t="n">
        <v>12100</v>
      </c>
      <c r="M32" s="2" t="n">
        <f aca="false">I32-J32</f>
        <v>3704.4</v>
      </c>
      <c r="N32" s="3" t="n">
        <f aca="false">IF(I32=0,0,M32/I32)</f>
        <v>0.49</v>
      </c>
      <c r="O32" s="2" t="n">
        <f aca="false">I32-L32</f>
        <v>-4540</v>
      </c>
    </row>
    <row r="33" customFormat="false" ht="15" hidden="false" customHeight="false" outlineLevel="0" collapsed="false">
      <c r="A33" s="0" t="s">
        <v>64</v>
      </c>
      <c r="B33" s="0" t="s">
        <v>21</v>
      </c>
      <c r="C33" s="0" t="s">
        <v>33</v>
      </c>
      <c r="D33" s="0" t="s">
        <v>40</v>
      </c>
      <c r="E33" s="0" t="s">
        <v>19</v>
      </c>
      <c r="F33" s="2" t="n">
        <v>8863</v>
      </c>
      <c r="G33" s="2" t="n">
        <v>363</v>
      </c>
      <c r="H33" s="2" t="n">
        <v>38</v>
      </c>
      <c r="I33" s="2" t="n">
        <v>13110</v>
      </c>
      <c r="J33" s="2" t="n">
        <v>7276.05</v>
      </c>
      <c r="K33" s="2" t="n">
        <v>2</v>
      </c>
      <c r="L33" s="2" t="n">
        <v>13900</v>
      </c>
      <c r="M33" s="2" t="n">
        <f aca="false">I33-J33</f>
        <v>5833.95</v>
      </c>
      <c r="N33" s="3" t="n">
        <f aca="false">IF(I33=0,0,M33/I33)</f>
        <v>0.445</v>
      </c>
      <c r="O33" s="2" t="n">
        <f aca="false">I33-L33</f>
        <v>-790</v>
      </c>
    </row>
    <row r="34" customFormat="false" ht="15" hidden="false" customHeight="false" outlineLevel="0" collapsed="false">
      <c r="A34" s="0" t="s">
        <v>65</v>
      </c>
      <c r="B34" s="0" t="s">
        <v>23</v>
      </c>
      <c r="C34" s="0" t="s">
        <v>33</v>
      </c>
      <c r="D34" s="0" t="s">
        <v>40</v>
      </c>
      <c r="E34" s="0" t="s">
        <v>19</v>
      </c>
      <c r="F34" s="2" t="n">
        <v>9036</v>
      </c>
      <c r="G34" s="2" t="n">
        <v>424</v>
      </c>
      <c r="H34" s="2" t="n">
        <v>50</v>
      </c>
      <c r="I34" s="2" t="n">
        <v>7500</v>
      </c>
      <c r="J34" s="2" t="n">
        <v>4500</v>
      </c>
      <c r="K34" s="2" t="n">
        <v>11</v>
      </c>
      <c r="L34" s="2" t="n">
        <v>8500</v>
      </c>
      <c r="M34" s="2" t="n">
        <f aca="false">I34-J34</f>
        <v>3000</v>
      </c>
      <c r="N34" s="3" t="n">
        <f aca="false">IF(I34=0,0,M34/I34)</f>
        <v>0.4</v>
      </c>
      <c r="O34" s="2" t="n">
        <f aca="false">I34-L34</f>
        <v>-1000</v>
      </c>
    </row>
    <row r="35" customFormat="false" ht="15" hidden="false" customHeight="false" outlineLevel="0" collapsed="false">
      <c r="A35" s="0" t="s">
        <v>66</v>
      </c>
      <c r="B35" s="0" t="s">
        <v>25</v>
      </c>
      <c r="C35" s="0" t="s">
        <v>38</v>
      </c>
      <c r="D35" s="0" t="s">
        <v>40</v>
      </c>
      <c r="E35" s="0" t="s">
        <v>19</v>
      </c>
      <c r="F35" s="2" t="n">
        <v>9209</v>
      </c>
      <c r="G35" s="2" t="n">
        <v>488</v>
      </c>
      <c r="H35" s="2" t="n">
        <v>65</v>
      </c>
      <c r="I35" s="2" t="n">
        <v>13975</v>
      </c>
      <c r="J35" s="2" t="n">
        <v>7127.25</v>
      </c>
      <c r="K35" s="2" t="n">
        <v>11</v>
      </c>
      <c r="L35" s="2" t="n">
        <v>10300</v>
      </c>
      <c r="M35" s="2" t="n">
        <f aca="false">I35-J35</f>
        <v>6847.75</v>
      </c>
      <c r="N35" s="3" t="n">
        <f aca="false">IF(I35=0,0,M35/I35)</f>
        <v>0.49</v>
      </c>
      <c r="O35" s="2" t="n">
        <f aca="false">I35-L35</f>
        <v>3675</v>
      </c>
    </row>
    <row r="36" customFormat="false" ht="15" hidden="false" customHeight="false" outlineLevel="0" collapsed="false">
      <c r="A36" s="0" t="s">
        <v>67</v>
      </c>
      <c r="B36" s="0" t="s">
        <v>28</v>
      </c>
      <c r="C36" s="0" t="s">
        <v>38</v>
      </c>
      <c r="D36" s="0" t="s">
        <v>40</v>
      </c>
      <c r="E36" s="0" t="s">
        <v>19</v>
      </c>
      <c r="F36" s="2" t="n">
        <v>9382</v>
      </c>
      <c r="G36" s="2" t="n">
        <v>553</v>
      </c>
      <c r="H36" s="2" t="n">
        <v>82</v>
      </c>
      <c r="I36" s="2" t="n">
        <v>22960</v>
      </c>
      <c r="J36" s="2" t="n">
        <v>12742.8</v>
      </c>
      <c r="K36" s="2" t="n">
        <v>18</v>
      </c>
      <c r="L36" s="2" t="n">
        <v>12100</v>
      </c>
      <c r="M36" s="2" t="n">
        <f aca="false">I36-J36</f>
        <v>10217.2</v>
      </c>
      <c r="N36" s="3" t="n">
        <f aca="false">IF(I36=0,0,M36/I36)</f>
        <v>0.445</v>
      </c>
      <c r="O36" s="2" t="n">
        <f aca="false">I36-L36</f>
        <v>10860</v>
      </c>
    </row>
    <row r="37" customFormat="false" ht="15" hidden="false" customHeight="false" outlineLevel="0" collapsed="false">
      <c r="A37" s="0" t="s">
        <v>68</v>
      </c>
      <c r="B37" s="0" t="s">
        <v>30</v>
      </c>
      <c r="C37" s="0" t="s">
        <v>38</v>
      </c>
      <c r="D37" s="0" t="s">
        <v>47</v>
      </c>
      <c r="E37" s="0" t="s">
        <v>35</v>
      </c>
      <c r="F37" s="2" t="n">
        <v>9555</v>
      </c>
      <c r="G37" s="2" t="n">
        <v>621</v>
      </c>
      <c r="H37" s="2" t="n">
        <v>55</v>
      </c>
      <c r="I37" s="2" t="n">
        <v>18975</v>
      </c>
      <c r="J37" s="2" t="n">
        <v>11385</v>
      </c>
      <c r="K37" s="2" t="n">
        <v>10</v>
      </c>
      <c r="L37" s="2" t="n">
        <v>13900</v>
      </c>
      <c r="M37" s="2" t="n">
        <f aca="false">I37-J37</f>
        <v>7590</v>
      </c>
      <c r="N37" s="3" t="n">
        <f aca="false">IF(I37=0,0,M37/I37)</f>
        <v>0.4</v>
      </c>
      <c r="O37" s="2" t="n">
        <f aca="false">I37-L37</f>
        <v>5075</v>
      </c>
    </row>
    <row r="38" customFormat="false" ht="15" hidden="false" customHeight="false" outlineLevel="0" collapsed="false">
      <c r="A38" s="0" t="s">
        <v>69</v>
      </c>
      <c r="B38" s="0" t="s">
        <v>16</v>
      </c>
      <c r="C38" s="0" t="s">
        <v>17</v>
      </c>
      <c r="D38" s="0" t="s">
        <v>47</v>
      </c>
      <c r="E38" s="0" t="s">
        <v>35</v>
      </c>
      <c r="F38" s="2" t="n">
        <v>9728</v>
      </c>
      <c r="G38" s="2" t="n">
        <v>340</v>
      </c>
      <c r="H38" s="2" t="n">
        <v>35</v>
      </c>
      <c r="I38" s="2" t="n">
        <v>5250</v>
      </c>
      <c r="J38" s="2" t="n">
        <v>2677.5</v>
      </c>
      <c r="K38" s="2" t="n">
        <v>0</v>
      </c>
      <c r="L38" s="2" t="n">
        <v>8500</v>
      </c>
      <c r="M38" s="2" t="n">
        <f aca="false">I38-J38</f>
        <v>2572.5</v>
      </c>
      <c r="N38" s="3" t="n">
        <f aca="false">IF(I38=0,0,M38/I38)</f>
        <v>0.49</v>
      </c>
      <c r="O38" s="2" t="n">
        <f aca="false">I38-L38</f>
        <v>-3250</v>
      </c>
    </row>
    <row r="39" customFormat="false" ht="15" hidden="false" customHeight="false" outlineLevel="0" collapsed="false">
      <c r="A39" s="0" t="s">
        <v>70</v>
      </c>
      <c r="B39" s="0" t="s">
        <v>21</v>
      </c>
      <c r="C39" s="0" t="s">
        <v>17</v>
      </c>
      <c r="D39" s="0" t="s">
        <v>47</v>
      </c>
      <c r="E39" s="0" t="s">
        <v>35</v>
      </c>
      <c r="F39" s="2" t="n">
        <v>9901</v>
      </c>
      <c r="G39" s="2" t="n">
        <v>405</v>
      </c>
      <c r="H39" s="2" t="n">
        <v>48</v>
      </c>
      <c r="I39" s="2" t="n">
        <v>10320</v>
      </c>
      <c r="J39" s="2" t="n">
        <v>5727.6</v>
      </c>
      <c r="K39" s="2" t="n">
        <v>9</v>
      </c>
      <c r="L39" s="2" t="n">
        <v>10300</v>
      </c>
      <c r="M39" s="2" t="n">
        <f aca="false">I39-J39</f>
        <v>4592.4</v>
      </c>
      <c r="N39" s="3" t="n">
        <f aca="false">IF(I39=0,0,M39/I39)</f>
        <v>0.445</v>
      </c>
      <c r="O39" s="2" t="n">
        <f aca="false">I39-L39</f>
        <v>20</v>
      </c>
    </row>
    <row r="40" customFormat="false" ht="15" hidden="false" customHeight="false" outlineLevel="0" collapsed="false">
      <c r="A40" s="0" t="s">
        <v>71</v>
      </c>
      <c r="B40" s="0" t="s">
        <v>23</v>
      </c>
      <c r="C40" s="0" t="s">
        <v>17</v>
      </c>
      <c r="D40" s="0" t="s">
        <v>47</v>
      </c>
      <c r="E40" s="0" t="s">
        <v>35</v>
      </c>
      <c r="F40" s="2" t="n">
        <v>10074</v>
      </c>
      <c r="G40" s="2" t="n">
        <v>473</v>
      </c>
      <c r="H40" s="2" t="n">
        <v>63</v>
      </c>
      <c r="I40" s="2" t="n">
        <v>17640</v>
      </c>
      <c r="J40" s="2" t="n">
        <v>10584</v>
      </c>
      <c r="K40" s="2" t="n">
        <v>4</v>
      </c>
      <c r="L40" s="2" t="n">
        <v>12100</v>
      </c>
      <c r="M40" s="2" t="n">
        <f aca="false">I40-J40</f>
        <v>7056</v>
      </c>
      <c r="N40" s="3" t="n">
        <f aca="false">IF(I40=0,0,M40/I40)</f>
        <v>0.4</v>
      </c>
      <c r="O40" s="2" t="n">
        <f aca="false">I40-L40</f>
        <v>5540</v>
      </c>
    </row>
    <row r="41" customFormat="false" ht="15" hidden="false" customHeight="false" outlineLevel="0" collapsed="false">
      <c r="A41" s="0" t="s">
        <v>72</v>
      </c>
      <c r="B41" s="0" t="s">
        <v>25</v>
      </c>
      <c r="C41" s="0" t="s">
        <v>26</v>
      </c>
      <c r="D41" s="0" t="s">
        <v>47</v>
      </c>
      <c r="E41" s="0" t="s">
        <v>35</v>
      </c>
      <c r="F41" s="2" t="n">
        <v>10247</v>
      </c>
      <c r="G41" s="2" t="n">
        <v>543</v>
      </c>
      <c r="H41" s="2" t="n">
        <v>81</v>
      </c>
      <c r="I41" s="2" t="n">
        <v>27945</v>
      </c>
      <c r="J41" s="2" t="n">
        <v>14251.95</v>
      </c>
      <c r="K41" s="2" t="n">
        <v>5</v>
      </c>
      <c r="L41" s="2" t="n">
        <v>13900</v>
      </c>
      <c r="M41" s="2" t="n">
        <f aca="false">I41-J41</f>
        <v>13693.05</v>
      </c>
      <c r="N41" s="3" t="n">
        <f aca="false">IF(I41=0,0,M41/I41)</f>
        <v>0.49</v>
      </c>
      <c r="O41" s="2" t="n">
        <f aca="false">I41-L41</f>
        <v>14045</v>
      </c>
    </row>
    <row r="42" customFormat="false" ht="15" hidden="false" customHeight="false" outlineLevel="0" collapsed="false">
      <c r="A42" s="0" t="s">
        <v>73</v>
      </c>
      <c r="B42" s="0" t="s">
        <v>28</v>
      </c>
      <c r="C42" s="0" t="s">
        <v>26</v>
      </c>
      <c r="D42" s="0" t="s">
        <v>18</v>
      </c>
      <c r="E42" s="0" t="s">
        <v>35</v>
      </c>
      <c r="F42" s="2" t="n">
        <v>10420</v>
      </c>
      <c r="G42" s="2" t="n">
        <v>614</v>
      </c>
      <c r="H42" s="2" t="n">
        <v>55</v>
      </c>
      <c r="I42" s="2" t="n">
        <v>8250</v>
      </c>
      <c r="J42" s="2" t="n">
        <v>4578.75</v>
      </c>
      <c r="K42" s="2" t="n">
        <v>6</v>
      </c>
      <c r="L42" s="2" t="n">
        <v>8500</v>
      </c>
      <c r="M42" s="2" t="n">
        <f aca="false">I42-J42</f>
        <v>3671.25</v>
      </c>
      <c r="N42" s="3" t="n">
        <f aca="false">IF(I42=0,0,M42/I42)</f>
        <v>0.445</v>
      </c>
      <c r="O42" s="2" t="n">
        <f aca="false">I42-L42</f>
        <v>-250</v>
      </c>
    </row>
    <row r="43" customFormat="false" ht="15" hidden="false" customHeight="false" outlineLevel="0" collapsed="false">
      <c r="A43" s="0" t="s">
        <v>74</v>
      </c>
      <c r="B43" s="0" t="s">
        <v>30</v>
      </c>
      <c r="C43" s="0" t="s">
        <v>26</v>
      </c>
      <c r="D43" s="0" t="s">
        <v>18</v>
      </c>
      <c r="E43" s="0" t="s">
        <v>35</v>
      </c>
      <c r="F43" s="2" t="n">
        <v>3593</v>
      </c>
      <c r="G43" s="2" t="n">
        <v>233</v>
      </c>
      <c r="H43" s="2" t="n">
        <v>24</v>
      </c>
      <c r="I43" s="2" t="n">
        <v>5160</v>
      </c>
      <c r="J43" s="2" t="n">
        <v>3096</v>
      </c>
      <c r="K43" s="2" t="n">
        <v>6</v>
      </c>
      <c r="L43" s="2" t="n">
        <v>10300</v>
      </c>
      <c r="M43" s="2" t="n">
        <f aca="false">I43-J43</f>
        <v>2064</v>
      </c>
      <c r="N43" s="3" t="n">
        <f aca="false">IF(I43=0,0,M43/I43)</f>
        <v>0.4</v>
      </c>
      <c r="O43" s="2" t="n">
        <f aca="false">I43-L43</f>
        <v>-5140</v>
      </c>
    </row>
    <row r="44" customFormat="false" ht="15" hidden="false" customHeight="false" outlineLevel="0" collapsed="false">
      <c r="A44" s="0" t="s">
        <v>75</v>
      </c>
      <c r="B44" s="0" t="s">
        <v>16</v>
      </c>
      <c r="C44" s="0" t="s">
        <v>33</v>
      </c>
      <c r="D44" s="0" t="s">
        <v>18</v>
      </c>
      <c r="E44" s="0" t="s">
        <v>45</v>
      </c>
      <c r="F44" s="2" t="n">
        <v>3766</v>
      </c>
      <c r="G44" s="2" t="n">
        <v>131</v>
      </c>
      <c r="H44" s="2" t="n">
        <v>15</v>
      </c>
      <c r="I44" s="2" t="n">
        <v>4200</v>
      </c>
      <c r="J44" s="2" t="n">
        <v>2142</v>
      </c>
      <c r="K44" s="2" t="n">
        <v>0</v>
      </c>
      <c r="L44" s="2" t="n">
        <v>12100</v>
      </c>
      <c r="M44" s="2" t="n">
        <f aca="false">I44-J44</f>
        <v>2058</v>
      </c>
      <c r="N44" s="3" t="n">
        <f aca="false">IF(I44=0,0,M44/I44)</f>
        <v>0.49</v>
      </c>
      <c r="O44" s="2" t="n">
        <f aca="false">I44-L44</f>
        <v>-7900</v>
      </c>
    </row>
    <row r="45" customFormat="false" ht="15" hidden="false" customHeight="false" outlineLevel="0" collapsed="false">
      <c r="A45" s="0" t="s">
        <v>76</v>
      </c>
      <c r="B45" s="0" t="s">
        <v>21</v>
      </c>
      <c r="C45" s="0" t="s">
        <v>33</v>
      </c>
      <c r="D45" s="0" t="s">
        <v>18</v>
      </c>
      <c r="E45" s="0" t="s">
        <v>45</v>
      </c>
      <c r="F45" s="2" t="n">
        <v>3939</v>
      </c>
      <c r="G45" s="2" t="n">
        <v>161</v>
      </c>
      <c r="H45" s="2" t="n">
        <v>21</v>
      </c>
      <c r="I45" s="2" t="n">
        <v>7245</v>
      </c>
      <c r="J45" s="2" t="n">
        <v>4020.98</v>
      </c>
      <c r="K45" s="2" t="n">
        <v>1</v>
      </c>
      <c r="L45" s="2" t="n">
        <v>13900</v>
      </c>
      <c r="M45" s="2" t="n">
        <f aca="false">I45-J45</f>
        <v>3224.02</v>
      </c>
      <c r="N45" s="3" t="n">
        <f aca="false">IF(I45=0,0,M45/I45)</f>
        <v>0.444999309868875</v>
      </c>
      <c r="O45" s="2" t="n">
        <f aca="false">I45-L45</f>
        <v>-6655</v>
      </c>
    </row>
    <row r="46" customFormat="false" ht="15" hidden="false" customHeight="false" outlineLevel="0" collapsed="false">
      <c r="A46" s="0" t="s">
        <v>77</v>
      </c>
      <c r="B46" s="0" t="s">
        <v>23</v>
      </c>
      <c r="C46" s="0" t="s">
        <v>33</v>
      </c>
      <c r="D46" s="0" t="s">
        <v>18</v>
      </c>
      <c r="E46" s="0" t="s">
        <v>45</v>
      </c>
      <c r="F46" s="2" t="n">
        <v>4112</v>
      </c>
      <c r="G46" s="2" t="n">
        <v>193</v>
      </c>
      <c r="H46" s="2" t="n">
        <v>28</v>
      </c>
      <c r="I46" s="2" t="n">
        <v>4200</v>
      </c>
      <c r="J46" s="2" t="n">
        <v>2520</v>
      </c>
      <c r="K46" s="2" t="n">
        <v>2</v>
      </c>
      <c r="L46" s="2" t="n">
        <v>8500</v>
      </c>
      <c r="M46" s="2" t="n">
        <f aca="false">I46-J46</f>
        <v>1680</v>
      </c>
      <c r="N46" s="3" t="n">
        <f aca="false">IF(I46=0,0,M46/I46)</f>
        <v>0.4</v>
      </c>
      <c r="O46" s="2" t="n">
        <f aca="false">I46-L46</f>
        <v>-4300</v>
      </c>
    </row>
    <row r="47" customFormat="false" ht="15" hidden="false" customHeight="false" outlineLevel="0" collapsed="false">
      <c r="A47" s="0" t="s">
        <v>78</v>
      </c>
      <c r="B47" s="0" t="s">
        <v>25</v>
      </c>
      <c r="C47" s="0" t="s">
        <v>38</v>
      </c>
      <c r="D47" s="0" t="s">
        <v>31</v>
      </c>
      <c r="E47" s="0" t="s">
        <v>45</v>
      </c>
      <c r="F47" s="2" t="n">
        <v>4285</v>
      </c>
      <c r="G47" s="2" t="n">
        <v>227</v>
      </c>
      <c r="H47" s="2" t="n">
        <v>20</v>
      </c>
      <c r="I47" s="2" t="n">
        <v>4300</v>
      </c>
      <c r="J47" s="2" t="n">
        <v>2193</v>
      </c>
      <c r="K47" s="2" t="n">
        <v>2</v>
      </c>
      <c r="L47" s="2" t="n">
        <v>10300</v>
      </c>
      <c r="M47" s="2" t="n">
        <f aca="false">I47-J47</f>
        <v>2107</v>
      </c>
      <c r="N47" s="3" t="n">
        <f aca="false">IF(I47=0,0,M47/I47)</f>
        <v>0.49</v>
      </c>
      <c r="O47" s="2" t="n">
        <f aca="false">I47-L47</f>
        <v>-6000</v>
      </c>
    </row>
    <row r="48" customFormat="false" ht="15" hidden="false" customHeight="false" outlineLevel="0" collapsed="false">
      <c r="A48" s="0" t="s">
        <v>79</v>
      </c>
      <c r="B48" s="0" t="s">
        <v>28</v>
      </c>
      <c r="C48" s="0" t="s">
        <v>38</v>
      </c>
      <c r="D48" s="0" t="s">
        <v>31</v>
      </c>
      <c r="E48" s="0" t="s">
        <v>45</v>
      </c>
      <c r="F48" s="2" t="n">
        <v>4458</v>
      </c>
      <c r="G48" s="2" t="n">
        <v>263</v>
      </c>
      <c r="H48" s="2" t="n">
        <v>27</v>
      </c>
      <c r="I48" s="2" t="n">
        <v>7560</v>
      </c>
      <c r="J48" s="2" t="n">
        <v>4195.8</v>
      </c>
      <c r="K48" s="2" t="n">
        <v>8</v>
      </c>
      <c r="L48" s="2" t="n">
        <v>12100</v>
      </c>
      <c r="M48" s="2" t="n">
        <f aca="false">I48-J48</f>
        <v>3364.2</v>
      </c>
      <c r="N48" s="3" t="n">
        <f aca="false">IF(I48=0,0,M48/I48)</f>
        <v>0.445</v>
      </c>
      <c r="O48" s="2" t="n">
        <f aca="false">I48-L48</f>
        <v>-4540</v>
      </c>
    </row>
    <row r="49" customFormat="false" ht="15" hidden="false" customHeight="false" outlineLevel="0" collapsed="false">
      <c r="A49" s="0" t="s">
        <v>80</v>
      </c>
      <c r="B49" s="0" t="s">
        <v>30</v>
      </c>
      <c r="C49" s="0" t="s">
        <v>38</v>
      </c>
      <c r="D49" s="0" t="s">
        <v>31</v>
      </c>
      <c r="E49" s="0" t="s">
        <v>45</v>
      </c>
      <c r="F49" s="2" t="n">
        <v>4631</v>
      </c>
      <c r="G49" s="2" t="n">
        <v>301</v>
      </c>
      <c r="H49" s="2" t="n">
        <v>36</v>
      </c>
      <c r="I49" s="2" t="n">
        <v>12420</v>
      </c>
      <c r="J49" s="2" t="n">
        <v>7452</v>
      </c>
      <c r="K49" s="2" t="n">
        <v>11</v>
      </c>
      <c r="L49" s="2" t="n">
        <v>13900</v>
      </c>
      <c r="M49" s="2" t="n">
        <f aca="false">I49-J49</f>
        <v>4968</v>
      </c>
      <c r="N49" s="3" t="n">
        <f aca="false">IF(I49=0,0,M49/I49)</f>
        <v>0.4</v>
      </c>
      <c r="O49" s="2" t="n">
        <f aca="false">I49-L49</f>
        <v>-1480</v>
      </c>
    </row>
    <row r="50" customFormat="false" ht="15" hidden="false" customHeight="false" outlineLevel="0" collapsed="false">
      <c r="A50" s="0" t="s">
        <v>81</v>
      </c>
      <c r="B50" s="0" t="s">
        <v>16</v>
      </c>
      <c r="C50" s="0" t="s">
        <v>17</v>
      </c>
      <c r="D50" s="0" t="s">
        <v>31</v>
      </c>
      <c r="E50" s="0" t="s">
        <v>45</v>
      </c>
      <c r="F50" s="2" t="n">
        <v>4804</v>
      </c>
      <c r="G50" s="2" t="n">
        <v>168</v>
      </c>
      <c r="H50" s="2" t="n">
        <v>22</v>
      </c>
      <c r="I50" s="2" t="n">
        <v>3300</v>
      </c>
      <c r="J50" s="2" t="n">
        <v>1683</v>
      </c>
      <c r="K50" s="2" t="n">
        <v>0</v>
      </c>
      <c r="L50" s="2" t="n">
        <v>8500</v>
      </c>
      <c r="M50" s="2" t="n">
        <f aca="false">I50-J50</f>
        <v>1617</v>
      </c>
      <c r="N50" s="3" t="n">
        <f aca="false">IF(I50=0,0,M50/I50)</f>
        <v>0.49</v>
      </c>
      <c r="O50" s="2" t="n">
        <f aca="false">I50-L50</f>
        <v>-5200</v>
      </c>
    </row>
    <row r="51" customFormat="false" ht="15" hidden="false" customHeight="false" outlineLevel="0" collapsed="false">
      <c r="A51" s="0" t="s">
        <v>82</v>
      </c>
      <c r="B51" s="0" t="s">
        <v>21</v>
      </c>
      <c r="C51" s="0" t="s">
        <v>17</v>
      </c>
      <c r="D51" s="0" t="s">
        <v>31</v>
      </c>
      <c r="E51" s="0" t="s">
        <v>54</v>
      </c>
      <c r="F51" s="2" t="n">
        <v>4977</v>
      </c>
      <c r="G51" s="2" t="n">
        <v>204</v>
      </c>
      <c r="H51" s="2" t="n">
        <v>30</v>
      </c>
      <c r="I51" s="2" t="n">
        <v>6450</v>
      </c>
      <c r="J51" s="2" t="n">
        <v>3579.75</v>
      </c>
      <c r="K51" s="2" t="n">
        <v>4</v>
      </c>
      <c r="L51" s="2" t="n">
        <v>10300</v>
      </c>
      <c r="M51" s="2" t="n">
        <f aca="false">I51-J51</f>
        <v>2870.25</v>
      </c>
      <c r="N51" s="3" t="n">
        <f aca="false">IF(I51=0,0,M51/I51)</f>
        <v>0.445</v>
      </c>
      <c r="O51" s="2" t="n">
        <f aca="false">I51-L51</f>
        <v>-3850</v>
      </c>
    </row>
    <row r="52" customFormat="false" ht="15" hidden="false" customHeight="false" outlineLevel="0" collapsed="false">
      <c r="A52" s="0" t="s">
        <v>83</v>
      </c>
      <c r="B52" s="0" t="s">
        <v>23</v>
      </c>
      <c r="C52" s="0" t="s">
        <v>17</v>
      </c>
      <c r="D52" s="0" t="s">
        <v>40</v>
      </c>
      <c r="E52" s="0" t="s">
        <v>54</v>
      </c>
      <c r="F52" s="2" t="n">
        <v>5150</v>
      </c>
      <c r="G52" s="2" t="n">
        <v>242</v>
      </c>
      <c r="H52" s="2" t="n">
        <v>21</v>
      </c>
      <c r="I52" s="2" t="n">
        <v>5880</v>
      </c>
      <c r="J52" s="2" t="n">
        <v>3528</v>
      </c>
      <c r="K52" s="2" t="n">
        <v>6</v>
      </c>
      <c r="L52" s="2" t="n">
        <v>12100</v>
      </c>
      <c r="M52" s="2" t="n">
        <f aca="false">I52-J52</f>
        <v>2352</v>
      </c>
      <c r="N52" s="3" t="n">
        <f aca="false">IF(I52=0,0,M52/I52)</f>
        <v>0.4</v>
      </c>
      <c r="O52" s="2" t="n">
        <f aca="false">I52-L52</f>
        <v>-6220</v>
      </c>
    </row>
    <row r="53" customFormat="false" ht="15" hidden="false" customHeight="false" outlineLevel="0" collapsed="false">
      <c r="A53" s="0" t="s">
        <v>84</v>
      </c>
      <c r="B53" s="0" t="s">
        <v>25</v>
      </c>
      <c r="C53" s="0" t="s">
        <v>26</v>
      </c>
      <c r="D53" s="0" t="s">
        <v>40</v>
      </c>
      <c r="E53" s="0" t="s">
        <v>54</v>
      </c>
      <c r="F53" s="2" t="n">
        <v>5323</v>
      </c>
      <c r="G53" s="2" t="n">
        <v>282</v>
      </c>
      <c r="H53" s="2" t="n">
        <v>29</v>
      </c>
      <c r="I53" s="2" t="n">
        <v>10005</v>
      </c>
      <c r="J53" s="2" t="n">
        <v>5102.55</v>
      </c>
      <c r="K53" s="2" t="n">
        <v>3</v>
      </c>
      <c r="L53" s="2" t="n">
        <v>13900</v>
      </c>
      <c r="M53" s="2" t="n">
        <f aca="false">I53-J53</f>
        <v>4902.45</v>
      </c>
      <c r="N53" s="3" t="n">
        <f aca="false">IF(I53=0,0,M53/I53)</f>
        <v>0.49</v>
      </c>
      <c r="O53" s="2" t="n">
        <f aca="false">I53-L53</f>
        <v>-3895</v>
      </c>
    </row>
    <row r="54" customFormat="false" ht="15" hidden="false" customHeight="false" outlineLevel="0" collapsed="false">
      <c r="A54" s="0" t="s">
        <v>85</v>
      </c>
      <c r="B54" s="0" t="s">
        <v>28</v>
      </c>
      <c r="C54" s="0" t="s">
        <v>26</v>
      </c>
      <c r="D54" s="0" t="s">
        <v>40</v>
      </c>
      <c r="E54" s="0" t="s">
        <v>54</v>
      </c>
      <c r="F54" s="2" t="n">
        <v>5496</v>
      </c>
      <c r="G54" s="2" t="n">
        <v>324</v>
      </c>
      <c r="H54" s="2" t="n">
        <v>38</v>
      </c>
      <c r="I54" s="2" t="n">
        <v>5700</v>
      </c>
      <c r="J54" s="2" t="n">
        <v>3163.5</v>
      </c>
      <c r="K54" s="2" t="n">
        <v>0</v>
      </c>
      <c r="L54" s="2" t="n">
        <v>8500</v>
      </c>
      <c r="M54" s="2" t="n">
        <f aca="false">I54-J54</f>
        <v>2536.5</v>
      </c>
      <c r="N54" s="3" t="n">
        <f aca="false">IF(I54=0,0,M54/I54)</f>
        <v>0.445</v>
      </c>
      <c r="O54" s="2" t="n">
        <f aca="false">I54-L54</f>
        <v>-2800</v>
      </c>
    </row>
    <row r="55" customFormat="false" ht="15" hidden="false" customHeight="false" outlineLevel="0" collapsed="false">
      <c r="A55" s="0" t="s">
        <v>86</v>
      </c>
      <c r="B55" s="0" t="s">
        <v>30</v>
      </c>
      <c r="C55" s="0" t="s">
        <v>26</v>
      </c>
      <c r="D55" s="0" t="s">
        <v>40</v>
      </c>
      <c r="E55" s="0" t="s">
        <v>54</v>
      </c>
      <c r="F55" s="2" t="n">
        <v>5669</v>
      </c>
      <c r="G55" s="2" t="n">
        <v>368</v>
      </c>
      <c r="H55" s="2" t="n">
        <v>49</v>
      </c>
      <c r="I55" s="2" t="n">
        <v>10535</v>
      </c>
      <c r="J55" s="2" t="n">
        <v>6321</v>
      </c>
      <c r="K55" s="2" t="n">
        <v>6</v>
      </c>
      <c r="L55" s="2" t="n">
        <v>10300</v>
      </c>
      <c r="M55" s="2" t="n">
        <f aca="false">I55-J55</f>
        <v>4214</v>
      </c>
      <c r="N55" s="3" t="n">
        <f aca="false">IF(I55=0,0,M55/I55)</f>
        <v>0.4</v>
      </c>
      <c r="O55" s="2" t="n">
        <f aca="false">I55-L55</f>
        <v>235</v>
      </c>
    </row>
    <row r="56" customFormat="false" ht="15" hidden="false" customHeight="false" outlineLevel="0" collapsed="false">
      <c r="A56" s="0" t="s">
        <v>87</v>
      </c>
      <c r="B56" s="0" t="s">
        <v>16</v>
      </c>
      <c r="C56" s="0" t="s">
        <v>33</v>
      </c>
      <c r="D56" s="0" t="s">
        <v>40</v>
      </c>
      <c r="E56" s="0" t="s">
        <v>54</v>
      </c>
      <c r="F56" s="2" t="n">
        <v>5842</v>
      </c>
      <c r="G56" s="2" t="n">
        <v>204</v>
      </c>
      <c r="H56" s="2" t="n">
        <v>30</v>
      </c>
      <c r="I56" s="2" t="n">
        <v>8400</v>
      </c>
      <c r="J56" s="2" t="n">
        <v>4284</v>
      </c>
      <c r="K56" s="2" t="n">
        <v>8</v>
      </c>
      <c r="L56" s="2" t="n">
        <v>12100</v>
      </c>
      <c r="M56" s="2" t="n">
        <f aca="false">I56-J56</f>
        <v>4116</v>
      </c>
      <c r="N56" s="3" t="n">
        <f aca="false">IF(I56=0,0,M56/I56)</f>
        <v>0.49</v>
      </c>
      <c r="O56" s="2" t="n">
        <f aca="false">I56-L56</f>
        <v>-3700</v>
      </c>
    </row>
    <row r="57" customFormat="false" ht="15" hidden="false" customHeight="false" outlineLevel="0" collapsed="false">
      <c r="A57" s="0" t="s">
        <v>88</v>
      </c>
      <c r="B57" s="0" t="s">
        <v>21</v>
      </c>
      <c r="C57" s="0" t="s">
        <v>33</v>
      </c>
      <c r="D57" s="0" t="s">
        <v>47</v>
      </c>
      <c r="E57" s="0" t="s">
        <v>54</v>
      </c>
      <c r="F57" s="2" t="n">
        <v>6015</v>
      </c>
      <c r="G57" s="2" t="n">
        <v>246</v>
      </c>
      <c r="H57" s="2" t="n">
        <v>22</v>
      </c>
      <c r="I57" s="2" t="n">
        <v>7590</v>
      </c>
      <c r="J57" s="2" t="n">
        <v>4212.45</v>
      </c>
      <c r="K57" s="2" t="n">
        <v>5</v>
      </c>
      <c r="L57" s="2" t="n">
        <v>13900</v>
      </c>
      <c r="M57" s="2" t="n">
        <f aca="false">I57-J57</f>
        <v>3377.55</v>
      </c>
      <c r="N57" s="3" t="n">
        <f aca="false">IF(I57=0,0,M57/I57)</f>
        <v>0.445</v>
      </c>
      <c r="O57" s="2" t="n">
        <f aca="false">I57-L57</f>
        <v>-6310</v>
      </c>
    </row>
    <row r="58" customFormat="false" ht="15" hidden="false" customHeight="false" outlineLevel="0" collapsed="false">
      <c r="A58" s="0" t="s">
        <v>89</v>
      </c>
      <c r="B58" s="0" t="s">
        <v>23</v>
      </c>
      <c r="C58" s="0" t="s">
        <v>33</v>
      </c>
      <c r="D58" s="0" t="s">
        <v>47</v>
      </c>
      <c r="E58" s="0" t="s">
        <v>19</v>
      </c>
      <c r="F58" s="2" t="n">
        <v>6188</v>
      </c>
      <c r="G58" s="2" t="n">
        <v>290</v>
      </c>
      <c r="H58" s="2" t="n">
        <v>30</v>
      </c>
      <c r="I58" s="2" t="n">
        <v>4500</v>
      </c>
      <c r="J58" s="2" t="n">
        <v>2700</v>
      </c>
      <c r="K58" s="2" t="n">
        <v>3</v>
      </c>
      <c r="L58" s="2" t="n">
        <v>8500</v>
      </c>
      <c r="M58" s="2" t="n">
        <f aca="false">I58-J58</f>
        <v>1800</v>
      </c>
      <c r="N58" s="3" t="n">
        <f aca="false">IF(I58=0,0,M58/I58)</f>
        <v>0.4</v>
      </c>
      <c r="O58" s="2" t="n">
        <f aca="false">I58-L58</f>
        <v>-4000</v>
      </c>
    </row>
    <row r="59" customFormat="false" ht="15" hidden="false" customHeight="false" outlineLevel="0" collapsed="false">
      <c r="A59" s="0" t="s">
        <v>90</v>
      </c>
      <c r="B59" s="0" t="s">
        <v>25</v>
      </c>
      <c r="C59" s="0" t="s">
        <v>38</v>
      </c>
      <c r="D59" s="0" t="s">
        <v>47</v>
      </c>
      <c r="E59" s="0" t="s">
        <v>19</v>
      </c>
      <c r="F59" s="2" t="n">
        <v>6361</v>
      </c>
      <c r="G59" s="2" t="n">
        <v>337</v>
      </c>
      <c r="H59" s="2" t="n">
        <v>40</v>
      </c>
      <c r="I59" s="2" t="n">
        <v>8600</v>
      </c>
      <c r="J59" s="2" t="n">
        <v>4386</v>
      </c>
      <c r="K59" s="2" t="n">
        <v>3</v>
      </c>
      <c r="L59" s="2" t="n">
        <v>10300</v>
      </c>
      <c r="M59" s="2" t="n">
        <f aca="false">I59-J59</f>
        <v>4214</v>
      </c>
      <c r="N59" s="3" t="n">
        <f aca="false">IF(I59=0,0,M59/I59)</f>
        <v>0.49</v>
      </c>
      <c r="O59" s="2" t="n">
        <f aca="false">I59-L59</f>
        <v>-1700</v>
      </c>
    </row>
    <row r="60" customFormat="false" ht="15" hidden="false" customHeight="false" outlineLevel="0" collapsed="false">
      <c r="A60" s="0" t="s">
        <v>91</v>
      </c>
      <c r="B60" s="0" t="s">
        <v>28</v>
      </c>
      <c r="C60" s="0" t="s">
        <v>38</v>
      </c>
      <c r="D60" s="0" t="s">
        <v>47</v>
      </c>
      <c r="E60" s="0" t="s">
        <v>19</v>
      </c>
      <c r="F60" s="2" t="n">
        <v>6534</v>
      </c>
      <c r="G60" s="2" t="n">
        <v>385</v>
      </c>
      <c r="H60" s="2" t="n">
        <v>51</v>
      </c>
      <c r="I60" s="2" t="n">
        <v>14280</v>
      </c>
      <c r="J60" s="2" t="n">
        <v>7925.4</v>
      </c>
      <c r="K60" s="2" t="n">
        <v>12</v>
      </c>
      <c r="L60" s="2" t="n">
        <v>12100</v>
      </c>
      <c r="M60" s="2" t="n">
        <f aca="false">I60-J60</f>
        <v>6354.6</v>
      </c>
      <c r="N60" s="3" t="n">
        <f aca="false">IF(I60=0,0,M60/I60)</f>
        <v>0.445</v>
      </c>
      <c r="O60" s="2" t="n">
        <f aca="false">I60-L60</f>
        <v>2180</v>
      </c>
    </row>
    <row r="61" customFormat="false" ht="15" hidden="false" customHeight="false" outlineLevel="0" collapsed="false">
      <c r="A61" s="0" t="s">
        <v>92</v>
      </c>
      <c r="B61" s="0" t="s">
        <v>30</v>
      </c>
      <c r="C61" s="0" t="s">
        <v>38</v>
      </c>
      <c r="D61" s="0" t="s">
        <v>47</v>
      </c>
      <c r="E61" s="0" t="s">
        <v>19</v>
      </c>
      <c r="F61" s="2" t="n">
        <v>6707</v>
      </c>
      <c r="G61" s="2" t="n">
        <v>435</v>
      </c>
      <c r="H61" s="2" t="n">
        <v>65</v>
      </c>
      <c r="I61" s="2" t="n">
        <v>22425</v>
      </c>
      <c r="J61" s="2" t="n">
        <v>13455</v>
      </c>
      <c r="K61" s="2" t="n">
        <v>1</v>
      </c>
      <c r="L61" s="2" t="n">
        <v>13900</v>
      </c>
      <c r="M61" s="2" t="n">
        <f aca="false">I61-J61</f>
        <v>8970</v>
      </c>
      <c r="N61" s="3" t="n">
        <f aca="false">IF(I61=0,0,M61/I61)</f>
        <v>0.4</v>
      </c>
      <c r="O61" s="2" t="n">
        <f aca="false">I61-L61</f>
        <v>8525</v>
      </c>
    </row>
    <row r="62" customFormat="false" ht="15" hidden="false" customHeight="false" outlineLevel="0" collapsed="false">
      <c r="A62" s="0" t="s">
        <v>93</v>
      </c>
      <c r="B62" s="0" t="s">
        <v>16</v>
      </c>
      <c r="C62" s="0" t="s">
        <v>17</v>
      </c>
      <c r="D62" s="0" t="s">
        <v>18</v>
      </c>
      <c r="E62" s="0" t="s">
        <v>19</v>
      </c>
      <c r="F62" s="2" t="n">
        <v>6880</v>
      </c>
      <c r="G62" s="2" t="n">
        <v>240</v>
      </c>
      <c r="H62" s="2" t="n">
        <v>21</v>
      </c>
      <c r="I62" s="2" t="n">
        <v>3150</v>
      </c>
      <c r="J62" s="2" t="n">
        <v>1606.5</v>
      </c>
      <c r="K62" s="2" t="n">
        <v>4</v>
      </c>
      <c r="L62" s="2" t="n">
        <v>8500</v>
      </c>
      <c r="M62" s="2" t="n">
        <f aca="false">I62-J62</f>
        <v>1543.5</v>
      </c>
      <c r="N62" s="3" t="n">
        <f aca="false">IF(I62=0,0,M62/I62)</f>
        <v>0.49</v>
      </c>
      <c r="O62" s="2" t="n">
        <f aca="false">I62-L62</f>
        <v>-5350</v>
      </c>
    </row>
    <row r="63" customFormat="false" ht="15" hidden="false" customHeight="false" outlineLevel="0" collapsed="false">
      <c r="A63" s="0" t="s">
        <v>94</v>
      </c>
      <c r="B63" s="0" t="s">
        <v>21</v>
      </c>
      <c r="C63" s="0" t="s">
        <v>17</v>
      </c>
      <c r="D63" s="0" t="s">
        <v>18</v>
      </c>
      <c r="E63" s="0" t="s">
        <v>19</v>
      </c>
      <c r="F63" s="2" t="n">
        <v>7053</v>
      </c>
      <c r="G63" s="2" t="n">
        <v>289</v>
      </c>
      <c r="H63" s="2" t="n">
        <v>30</v>
      </c>
      <c r="I63" s="2" t="n">
        <v>6450</v>
      </c>
      <c r="J63" s="2" t="n">
        <v>3579.75</v>
      </c>
      <c r="K63" s="2" t="n">
        <v>7</v>
      </c>
      <c r="L63" s="2" t="n">
        <v>10300</v>
      </c>
      <c r="M63" s="2" t="n">
        <f aca="false">I63-J63</f>
        <v>2870.25</v>
      </c>
      <c r="N63" s="3" t="n">
        <f aca="false">IF(I63=0,0,M63/I63)</f>
        <v>0.445</v>
      </c>
      <c r="O63" s="2" t="n">
        <f aca="false">I63-L63</f>
        <v>-3850</v>
      </c>
    </row>
    <row r="64" customFormat="false" ht="15" hidden="false" customHeight="false" outlineLevel="0" collapsed="false">
      <c r="A64" s="0" t="s">
        <v>95</v>
      </c>
      <c r="B64" s="0" t="s">
        <v>23</v>
      </c>
      <c r="C64" s="0" t="s">
        <v>17</v>
      </c>
      <c r="D64" s="0" t="s">
        <v>18</v>
      </c>
      <c r="E64" s="0" t="s">
        <v>19</v>
      </c>
      <c r="F64" s="2" t="n">
        <v>7226</v>
      </c>
      <c r="G64" s="2" t="n">
        <v>339</v>
      </c>
      <c r="H64" s="2" t="n">
        <v>40</v>
      </c>
      <c r="I64" s="2" t="n">
        <v>11200</v>
      </c>
      <c r="J64" s="2" t="n">
        <v>6720</v>
      </c>
      <c r="K64" s="2" t="n">
        <v>4</v>
      </c>
      <c r="L64" s="2" t="n">
        <v>12100</v>
      </c>
      <c r="M64" s="2" t="n">
        <f aca="false">I64-J64</f>
        <v>4480</v>
      </c>
      <c r="N64" s="3" t="n">
        <f aca="false">IF(I64=0,0,M64/I64)</f>
        <v>0.4</v>
      </c>
      <c r="O64" s="2" t="n">
        <f aca="false">I64-L64</f>
        <v>-900</v>
      </c>
    </row>
    <row r="65" customFormat="false" ht="15" hidden="false" customHeight="false" outlineLevel="0" collapsed="false">
      <c r="A65" s="0" t="s">
        <v>96</v>
      </c>
      <c r="B65" s="0" t="s">
        <v>25</v>
      </c>
      <c r="C65" s="0" t="s">
        <v>26</v>
      </c>
      <c r="D65" s="0" t="s">
        <v>18</v>
      </c>
      <c r="E65" s="0" t="s">
        <v>35</v>
      </c>
      <c r="F65" s="2" t="n">
        <v>7399</v>
      </c>
      <c r="G65" s="2" t="n">
        <v>392</v>
      </c>
      <c r="H65" s="2" t="n">
        <v>52</v>
      </c>
      <c r="I65" s="2" t="n">
        <v>17940</v>
      </c>
      <c r="J65" s="2" t="n">
        <v>9149.4</v>
      </c>
      <c r="K65" s="2" t="n">
        <v>9</v>
      </c>
      <c r="L65" s="2" t="n">
        <v>13900</v>
      </c>
      <c r="M65" s="2" t="n">
        <f aca="false">I65-J65</f>
        <v>8790.6</v>
      </c>
      <c r="N65" s="3" t="n">
        <f aca="false">IF(I65=0,0,M65/I65)</f>
        <v>0.49</v>
      </c>
      <c r="O65" s="2" t="n">
        <f aca="false">I65-L65</f>
        <v>4040</v>
      </c>
    </row>
    <row r="66" customFormat="false" ht="15" hidden="false" customHeight="false" outlineLevel="0" collapsed="false">
      <c r="A66" s="0" t="s">
        <v>97</v>
      </c>
      <c r="B66" s="0" t="s">
        <v>28</v>
      </c>
      <c r="C66" s="0" t="s">
        <v>26</v>
      </c>
      <c r="D66" s="0" t="s">
        <v>18</v>
      </c>
      <c r="E66" s="0" t="s">
        <v>35</v>
      </c>
      <c r="F66" s="2" t="n">
        <v>7572</v>
      </c>
      <c r="G66" s="2" t="n">
        <v>446</v>
      </c>
      <c r="H66" s="2" t="n">
        <v>66</v>
      </c>
      <c r="I66" s="2" t="n">
        <v>9900</v>
      </c>
      <c r="J66" s="2" t="n">
        <v>5494.5</v>
      </c>
      <c r="K66" s="2" t="n">
        <v>8</v>
      </c>
      <c r="L66" s="2" t="n">
        <v>8500</v>
      </c>
      <c r="M66" s="2" t="n">
        <f aca="false">I66-J66</f>
        <v>4405.5</v>
      </c>
      <c r="N66" s="3" t="n">
        <f aca="false">IF(I66=0,0,M66/I66)</f>
        <v>0.445</v>
      </c>
      <c r="O66" s="2" t="n">
        <f aca="false">I66-L66</f>
        <v>1400</v>
      </c>
    </row>
    <row r="67" customFormat="false" ht="15" hidden="false" customHeight="false" outlineLevel="0" collapsed="false">
      <c r="A67" s="0" t="s">
        <v>98</v>
      </c>
      <c r="B67" s="0" t="s">
        <v>30</v>
      </c>
      <c r="C67" s="0" t="s">
        <v>26</v>
      </c>
      <c r="D67" s="0" t="s">
        <v>31</v>
      </c>
      <c r="E67" s="0" t="s">
        <v>35</v>
      </c>
      <c r="F67" s="2" t="n">
        <v>7745</v>
      </c>
      <c r="G67" s="2" t="n">
        <v>503</v>
      </c>
      <c r="H67" s="2" t="n">
        <v>45</v>
      </c>
      <c r="I67" s="2" t="n">
        <v>9675</v>
      </c>
      <c r="J67" s="2" t="n">
        <v>5805</v>
      </c>
      <c r="K67" s="2" t="n">
        <v>3</v>
      </c>
      <c r="L67" s="2" t="n">
        <v>10300</v>
      </c>
      <c r="M67" s="2" t="n">
        <f aca="false">I67-J67</f>
        <v>3870</v>
      </c>
      <c r="N67" s="3" t="n">
        <f aca="false">IF(I67=0,0,M67/I67)</f>
        <v>0.4</v>
      </c>
      <c r="O67" s="2" t="n">
        <f aca="false">I67-L67</f>
        <v>-625</v>
      </c>
    </row>
    <row r="68" customFormat="false" ht="15" hidden="false" customHeight="false" outlineLevel="0" collapsed="false">
      <c r="A68" s="0" t="s">
        <v>99</v>
      </c>
      <c r="B68" s="0" t="s">
        <v>16</v>
      </c>
      <c r="C68" s="0" t="s">
        <v>33</v>
      </c>
      <c r="D68" s="0" t="s">
        <v>31</v>
      </c>
      <c r="E68" s="0" t="s">
        <v>35</v>
      </c>
      <c r="F68" s="2" t="n">
        <v>7918</v>
      </c>
      <c r="G68" s="2" t="n">
        <v>277</v>
      </c>
      <c r="H68" s="2" t="n">
        <v>29</v>
      </c>
      <c r="I68" s="2" t="n">
        <v>8120</v>
      </c>
      <c r="J68" s="2" t="n">
        <v>4141.2</v>
      </c>
      <c r="K68" s="2" t="n">
        <v>8</v>
      </c>
      <c r="L68" s="2" t="n">
        <v>12100</v>
      </c>
      <c r="M68" s="2" t="n">
        <f aca="false">I68-J68</f>
        <v>3978.8</v>
      </c>
      <c r="N68" s="3" t="n">
        <f aca="false">IF(I68=0,0,M68/I68)</f>
        <v>0.49</v>
      </c>
      <c r="O68" s="2" t="n">
        <f aca="false">I68-L68</f>
        <v>-3980</v>
      </c>
    </row>
    <row r="69" customFormat="false" ht="15" hidden="false" customHeight="false" outlineLevel="0" collapsed="false">
      <c r="A69" s="0" t="s">
        <v>100</v>
      </c>
      <c r="B69" s="0" t="s">
        <v>21</v>
      </c>
      <c r="C69" s="0" t="s">
        <v>33</v>
      </c>
      <c r="D69" s="0" t="s">
        <v>31</v>
      </c>
      <c r="E69" s="0" t="s">
        <v>35</v>
      </c>
      <c r="F69" s="2" t="n">
        <v>8091</v>
      </c>
      <c r="G69" s="2" t="n">
        <v>331</v>
      </c>
      <c r="H69" s="2" t="n">
        <v>39</v>
      </c>
      <c r="I69" s="2" t="n">
        <v>13455</v>
      </c>
      <c r="J69" s="2" t="n">
        <v>7467.53</v>
      </c>
      <c r="K69" s="2" t="n">
        <v>5</v>
      </c>
      <c r="L69" s="2" t="n">
        <v>13900</v>
      </c>
      <c r="M69" s="2" t="n">
        <f aca="false">I69-J69</f>
        <v>5987.47</v>
      </c>
      <c r="N69" s="3" t="n">
        <f aca="false">IF(I69=0,0,M69/I69)</f>
        <v>0.444999628390933</v>
      </c>
      <c r="O69" s="2" t="n">
        <f aca="false">I69-L69</f>
        <v>-445</v>
      </c>
    </row>
    <row r="70" customFormat="false" ht="15" hidden="false" customHeight="false" outlineLevel="0" collapsed="false">
      <c r="A70" s="0" t="s">
        <v>101</v>
      </c>
      <c r="B70" s="0" t="s">
        <v>23</v>
      </c>
      <c r="C70" s="0" t="s">
        <v>33</v>
      </c>
      <c r="D70" s="0" t="s">
        <v>31</v>
      </c>
      <c r="E70" s="0" t="s">
        <v>35</v>
      </c>
      <c r="F70" s="2" t="n">
        <v>8264</v>
      </c>
      <c r="G70" s="2" t="n">
        <v>388</v>
      </c>
      <c r="H70" s="2" t="n">
        <v>52</v>
      </c>
      <c r="I70" s="2" t="n">
        <v>7800</v>
      </c>
      <c r="J70" s="2" t="n">
        <v>4680</v>
      </c>
      <c r="K70" s="2" t="n">
        <v>6</v>
      </c>
      <c r="L70" s="2" t="n">
        <v>8500</v>
      </c>
      <c r="M70" s="2" t="n">
        <f aca="false">I70-J70</f>
        <v>3120</v>
      </c>
      <c r="N70" s="3" t="n">
        <f aca="false">IF(I70=0,0,M70/I70)</f>
        <v>0.4</v>
      </c>
      <c r="O70" s="2" t="n">
        <f aca="false">I70-L70</f>
        <v>-700</v>
      </c>
    </row>
    <row r="71" customFormat="false" ht="15" hidden="false" customHeight="false" outlineLevel="0" collapsed="false">
      <c r="A71" s="0" t="s">
        <v>102</v>
      </c>
      <c r="B71" s="0" t="s">
        <v>25</v>
      </c>
      <c r="C71" s="0" t="s">
        <v>38</v>
      </c>
      <c r="D71" s="0" t="s">
        <v>31</v>
      </c>
      <c r="E71" s="0" t="s">
        <v>35</v>
      </c>
      <c r="F71" s="2" t="n">
        <v>8437</v>
      </c>
      <c r="G71" s="2" t="n">
        <v>447</v>
      </c>
      <c r="H71" s="2" t="n">
        <v>67</v>
      </c>
      <c r="I71" s="2" t="n">
        <v>14405</v>
      </c>
      <c r="J71" s="2" t="n">
        <v>7346.55</v>
      </c>
      <c r="K71" s="2" t="n">
        <v>0</v>
      </c>
      <c r="L71" s="2" t="n">
        <v>10300</v>
      </c>
      <c r="M71" s="2" t="n">
        <f aca="false">I71-J71</f>
        <v>7058.45</v>
      </c>
      <c r="N71" s="3" t="n">
        <f aca="false">IF(I71=0,0,M71/I71)</f>
        <v>0.49</v>
      </c>
      <c r="O71" s="2" t="n">
        <f aca="false">I71-L71</f>
        <v>4105</v>
      </c>
    </row>
    <row r="72" customFormat="false" ht="15" hidden="false" customHeight="false" outlineLevel="0" collapsed="false">
      <c r="A72" s="0" t="s">
        <v>103</v>
      </c>
      <c r="B72" s="0" t="s">
        <v>28</v>
      </c>
      <c r="C72" s="0" t="s">
        <v>38</v>
      </c>
      <c r="D72" s="0" t="s">
        <v>40</v>
      </c>
      <c r="E72" s="0" t="s">
        <v>45</v>
      </c>
      <c r="F72" s="2" t="n">
        <v>8610</v>
      </c>
      <c r="G72" s="2" t="n">
        <v>507</v>
      </c>
      <c r="H72" s="2" t="n">
        <v>45</v>
      </c>
      <c r="I72" s="2" t="n">
        <v>12600</v>
      </c>
      <c r="J72" s="2" t="n">
        <v>6993</v>
      </c>
      <c r="K72" s="2" t="n">
        <v>2</v>
      </c>
      <c r="L72" s="2" t="n">
        <v>12100</v>
      </c>
      <c r="M72" s="2" t="n">
        <f aca="false">I72-J72</f>
        <v>5607</v>
      </c>
      <c r="N72" s="3" t="n">
        <f aca="false">IF(I72=0,0,M72/I72)</f>
        <v>0.445</v>
      </c>
      <c r="O72" s="2" t="n">
        <f aca="false">I72-L72</f>
        <v>500</v>
      </c>
    </row>
    <row r="73" customFormat="false" ht="15" hidden="false" customHeight="false" outlineLevel="0" collapsed="false">
      <c r="A73" s="0" t="s">
        <v>104</v>
      </c>
      <c r="B73" s="0" t="s">
        <v>30</v>
      </c>
      <c r="C73" s="0" t="s">
        <v>38</v>
      </c>
      <c r="D73" s="0" t="s">
        <v>40</v>
      </c>
      <c r="E73" s="0" t="s">
        <v>45</v>
      </c>
      <c r="F73" s="2" t="n">
        <v>8783</v>
      </c>
      <c r="G73" s="2" t="n">
        <v>570</v>
      </c>
      <c r="H73" s="2" t="n">
        <v>59</v>
      </c>
      <c r="I73" s="2" t="n">
        <v>20355</v>
      </c>
      <c r="J73" s="2" t="n">
        <v>12213</v>
      </c>
      <c r="K73" s="2" t="n">
        <v>13</v>
      </c>
      <c r="L73" s="2" t="n">
        <v>13900</v>
      </c>
      <c r="M73" s="2" t="n">
        <f aca="false">I73-J73</f>
        <v>8142</v>
      </c>
      <c r="N73" s="3" t="n">
        <f aca="false">IF(I73=0,0,M73/I73)</f>
        <v>0.4</v>
      </c>
      <c r="O73" s="2" t="n">
        <f aca="false">I73-L73</f>
        <v>6455</v>
      </c>
    </row>
    <row r="74" customFormat="false" ht="15" hidden="false" customHeight="false" outlineLevel="0" collapsed="false">
      <c r="A74" s="0" t="s">
        <v>105</v>
      </c>
      <c r="B74" s="0" t="s">
        <v>16</v>
      </c>
      <c r="C74" s="0" t="s">
        <v>17</v>
      </c>
      <c r="D74" s="0" t="s">
        <v>40</v>
      </c>
      <c r="E74" s="0" t="s">
        <v>45</v>
      </c>
      <c r="F74" s="2" t="n">
        <v>8956</v>
      </c>
      <c r="G74" s="2" t="n">
        <v>313</v>
      </c>
      <c r="H74" s="2" t="n">
        <v>37</v>
      </c>
      <c r="I74" s="2" t="n">
        <v>5550</v>
      </c>
      <c r="J74" s="2" t="n">
        <v>2830.5</v>
      </c>
      <c r="K74" s="2" t="n">
        <v>8</v>
      </c>
      <c r="L74" s="2" t="n">
        <v>8500</v>
      </c>
      <c r="M74" s="2" t="n">
        <f aca="false">I74-J74</f>
        <v>2719.5</v>
      </c>
      <c r="N74" s="3" t="n">
        <f aca="false">IF(I74=0,0,M74/I74)</f>
        <v>0.49</v>
      </c>
      <c r="O74" s="2" t="n">
        <f aca="false">I74-L74</f>
        <v>-2950</v>
      </c>
    </row>
    <row r="75" customFormat="false" ht="15" hidden="false" customHeight="false" outlineLevel="0" collapsed="false">
      <c r="A75" s="0" t="s">
        <v>106</v>
      </c>
      <c r="B75" s="0" t="s">
        <v>21</v>
      </c>
      <c r="C75" s="0" t="s">
        <v>17</v>
      </c>
      <c r="D75" s="0" t="s">
        <v>40</v>
      </c>
      <c r="E75" s="0" t="s">
        <v>45</v>
      </c>
      <c r="F75" s="2" t="n">
        <v>9129</v>
      </c>
      <c r="G75" s="2" t="n">
        <v>374</v>
      </c>
      <c r="H75" s="2" t="n">
        <v>50</v>
      </c>
      <c r="I75" s="2" t="n">
        <v>10750</v>
      </c>
      <c r="J75" s="2" t="n">
        <v>5966.25</v>
      </c>
      <c r="K75" s="2" t="n">
        <v>15</v>
      </c>
      <c r="L75" s="2" t="n">
        <v>10300</v>
      </c>
      <c r="M75" s="2" t="n">
        <f aca="false">I75-J75</f>
        <v>4783.75</v>
      </c>
      <c r="N75" s="3" t="n">
        <f aca="false">IF(I75=0,0,M75/I75)</f>
        <v>0.445</v>
      </c>
      <c r="O75" s="2" t="n">
        <f aca="false">I75-L75</f>
        <v>450</v>
      </c>
    </row>
    <row r="76" customFormat="false" ht="15" hidden="false" customHeight="false" outlineLevel="0" collapsed="false">
      <c r="A76" s="0" t="s">
        <v>107</v>
      </c>
      <c r="B76" s="0" t="s">
        <v>23</v>
      </c>
      <c r="C76" s="0" t="s">
        <v>17</v>
      </c>
      <c r="D76" s="0" t="s">
        <v>40</v>
      </c>
      <c r="E76" s="0" t="s">
        <v>45</v>
      </c>
      <c r="F76" s="2" t="n">
        <v>9302</v>
      </c>
      <c r="G76" s="2" t="n">
        <v>437</v>
      </c>
      <c r="H76" s="2" t="n">
        <v>65</v>
      </c>
      <c r="I76" s="2" t="n">
        <v>18200</v>
      </c>
      <c r="J76" s="2" t="n">
        <v>10920</v>
      </c>
      <c r="K76" s="2" t="n">
        <v>2</v>
      </c>
      <c r="L76" s="2" t="n">
        <v>12100</v>
      </c>
      <c r="M76" s="2" t="n">
        <f aca="false">I76-J76</f>
        <v>7280</v>
      </c>
      <c r="N76" s="3" t="n">
        <f aca="false">IF(I76=0,0,M76/I76)</f>
        <v>0.4</v>
      </c>
      <c r="O76" s="2" t="n">
        <f aca="false">I76-L76</f>
        <v>6100</v>
      </c>
    </row>
    <row r="77" customFormat="false" ht="15" hidden="false" customHeight="false" outlineLevel="0" collapsed="false">
      <c r="A77" s="0" t="s">
        <v>108</v>
      </c>
      <c r="B77" s="0" t="s">
        <v>25</v>
      </c>
      <c r="C77" s="0" t="s">
        <v>26</v>
      </c>
      <c r="D77" s="0" t="s">
        <v>47</v>
      </c>
      <c r="E77" s="0" t="s">
        <v>45</v>
      </c>
      <c r="F77" s="2" t="n">
        <v>9475</v>
      </c>
      <c r="G77" s="2" t="n">
        <v>502</v>
      </c>
      <c r="H77" s="2" t="n">
        <v>45</v>
      </c>
      <c r="I77" s="2" t="n">
        <v>15525</v>
      </c>
      <c r="J77" s="2" t="n">
        <v>7917.75</v>
      </c>
      <c r="K77" s="2" t="n">
        <v>1</v>
      </c>
      <c r="L77" s="2" t="n">
        <v>13900</v>
      </c>
      <c r="M77" s="2" t="n">
        <f aca="false">I77-J77</f>
        <v>7607.25</v>
      </c>
      <c r="N77" s="3" t="n">
        <f aca="false">IF(I77=0,0,M77/I77)</f>
        <v>0.49</v>
      </c>
      <c r="O77" s="2" t="n">
        <f aca="false">I77-L77</f>
        <v>1625</v>
      </c>
    </row>
    <row r="78" customFormat="false" ht="15" hidden="false" customHeight="false" outlineLevel="0" collapsed="false">
      <c r="A78" s="0" t="s">
        <v>109</v>
      </c>
      <c r="B78" s="0" t="s">
        <v>28</v>
      </c>
      <c r="C78" s="0" t="s">
        <v>26</v>
      </c>
      <c r="D78" s="0" t="s">
        <v>47</v>
      </c>
      <c r="E78" s="0" t="s">
        <v>45</v>
      </c>
      <c r="F78" s="2" t="n">
        <v>9648</v>
      </c>
      <c r="G78" s="2" t="n">
        <v>569</v>
      </c>
      <c r="H78" s="2" t="n">
        <v>59</v>
      </c>
      <c r="I78" s="2" t="n">
        <v>8850</v>
      </c>
      <c r="J78" s="2" t="n">
        <v>4911.75</v>
      </c>
      <c r="K78" s="2" t="n">
        <v>8</v>
      </c>
      <c r="L78" s="2" t="n">
        <v>8500</v>
      </c>
      <c r="M78" s="2" t="n">
        <f aca="false">I78-J78</f>
        <v>3938.25</v>
      </c>
      <c r="N78" s="3" t="n">
        <f aca="false">IF(I78=0,0,M78/I78)</f>
        <v>0.445</v>
      </c>
      <c r="O78" s="2" t="n">
        <f aca="false">I78-L78</f>
        <v>350</v>
      </c>
    </row>
    <row r="79" customFormat="false" ht="15" hidden="false" customHeight="false" outlineLevel="0" collapsed="false">
      <c r="A79" s="0" t="s">
        <v>110</v>
      </c>
      <c r="B79" s="0" t="s">
        <v>30</v>
      </c>
      <c r="C79" s="0" t="s">
        <v>26</v>
      </c>
      <c r="D79" s="0" t="s">
        <v>47</v>
      </c>
      <c r="E79" s="0" t="s">
        <v>54</v>
      </c>
      <c r="F79" s="2" t="n">
        <v>9821</v>
      </c>
      <c r="G79" s="2" t="n">
        <v>638</v>
      </c>
      <c r="H79" s="2" t="n">
        <v>76</v>
      </c>
      <c r="I79" s="2" t="n">
        <v>16340</v>
      </c>
      <c r="J79" s="2" t="n">
        <v>9804</v>
      </c>
      <c r="K79" s="2" t="n">
        <v>23</v>
      </c>
      <c r="L79" s="2" t="n">
        <v>10300</v>
      </c>
      <c r="M79" s="2" t="n">
        <f aca="false">I79-J79</f>
        <v>6536</v>
      </c>
      <c r="N79" s="3" t="n">
        <f aca="false">IF(I79=0,0,M79/I79)</f>
        <v>0.4</v>
      </c>
      <c r="O79" s="2" t="n">
        <f aca="false">I79-L79</f>
        <v>6040</v>
      </c>
    </row>
    <row r="80" customFormat="false" ht="15" hidden="false" customHeight="false" outlineLevel="0" collapsed="false">
      <c r="A80" s="0" t="s">
        <v>111</v>
      </c>
      <c r="B80" s="0" t="s">
        <v>16</v>
      </c>
      <c r="C80" s="0" t="s">
        <v>33</v>
      </c>
      <c r="D80" s="0" t="s">
        <v>47</v>
      </c>
      <c r="E80" s="0" t="s">
        <v>54</v>
      </c>
      <c r="F80" s="2" t="n">
        <v>9994</v>
      </c>
      <c r="G80" s="2" t="n">
        <v>349</v>
      </c>
      <c r="H80" s="2" t="n">
        <v>47</v>
      </c>
      <c r="I80" s="2" t="n">
        <v>13160</v>
      </c>
      <c r="J80" s="2" t="n">
        <v>6711.6</v>
      </c>
      <c r="K80" s="2" t="n">
        <v>10</v>
      </c>
      <c r="L80" s="2" t="n">
        <v>12100</v>
      </c>
      <c r="M80" s="2" t="n">
        <f aca="false">I80-J80</f>
        <v>6448.4</v>
      </c>
      <c r="N80" s="3" t="n">
        <f aca="false">IF(I80=0,0,M80/I80)</f>
        <v>0.49</v>
      </c>
      <c r="O80" s="2" t="n">
        <f aca="false">I80-L80</f>
        <v>1060</v>
      </c>
    </row>
    <row r="81" customFormat="false" ht="15" hidden="false" customHeight="false" outlineLevel="0" collapsed="false">
      <c r="A81" s="0" t="s">
        <v>112</v>
      </c>
      <c r="B81" s="0" t="s">
        <v>21</v>
      </c>
      <c r="C81" s="0" t="s">
        <v>33</v>
      </c>
      <c r="D81" s="0" t="s">
        <v>47</v>
      </c>
      <c r="E81" s="0" t="s">
        <v>54</v>
      </c>
      <c r="F81" s="2" t="n">
        <v>10167</v>
      </c>
      <c r="G81" s="2" t="n">
        <v>416</v>
      </c>
      <c r="H81" s="2" t="n">
        <v>62</v>
      </c>
      <c r="I81" s="2" t="n">
        <v>21390</v>
      </c>
      <c r="J81" s="2" t="n">
        <v>11871.45</v>
      </c>
      <c r="K81" s="2" t="n">
        <v>6</v>
      </c>
      <c r="L81" s="2" t="n">
        <v>13900</v>
      </c>
      <c r="M81" s="2" t="n">
        <f aca="false">I81-J81</f>
        <v>9518.55</v>
      </c>
      <c r="N81" s="3" t="n">
        <f aca="false">IF(I81=0,0,M81/I81)</f>
        <v>0.445</v>
      </c>
      <c r="O81" s="2" t="n">
        <f aca="false">I81-L81</f>
        <v>7490</v>
      </c>
    </row>
    <row r="82" customFormat="false" ht="15" hidden="false" customHeight="false" outlineLevel="0" collapsed="false">
      <c r="A82" s="0" t="s">
        <v>113</v>
      </c>
      <c r="B82" s="0" t="s">
        <v>23</v>
      </c>
      <c r="C82" s="0" t="s">
        <v>33</v>
      </c>
      <c r="D82" s="0" t="s">
        <v>18</v>
      </c>
      <c r="E82" s="0" t="s">
        <v>54</v>
      </c>
      <c r="F82" s="2" t="n">
        <v>10340</v>
      </c>
      <c r="G82" s="2" t="n">
        <v>485</v>
      </c>
      <c r="H82" s="2" t="n">
        <v>43</v>
      </c>
      <c r="I82" s="2" t="n">
        <v>6450</v>
      </c>
      <c r="J82" s="2" t="n">
        <v>3870</v>
      </c>
      <c r="K82" s="2" t="n">
        <v>0</v>
      </c>
      <c r="L82" s="2" t="n">
        <v>8500</v>
      </c>
      <c r="M82" s="2" t="n">
        <f aca="false">I82-J82</f>
        <v>2580</v>
      </c>
      <c r="N82" s="3" t="n">
        <f aca="false">IF(I82=0,0,M82/I82)</f>
        <v>0.4</v>
      </c>
      <c r="O82" s="2" t="n">
        <f aca="false">I82-L82</f>
        <v>-2050</v>
      </c>
    </row>
    <row r="83" customFormat="false" ht="15" hidden="false" customHeight="false" outlineLevel="0" collapsed="false">
      <c r="A83" s="0" t="s">
        <v>114</v>
      </c>
      <c r="B83" s="0" t="s">
        <v>25</v>
      </c>
      <c r="C83" s="0" t="s">
        <v>38</v>
      </c>
      <c r="D83" s="0" t="s">
        <v>18</v>
      </c>
      <c r="E83" s="0" t="s">
        <v>54</v>
      </c>
      <c r="F83" s="2" t="n">
        <v>3513</v>
      </c>
      <c r="G83" s="2" t="n">
        <v>186</v>
      </c>
      <c r="H83" s="2" t="n">
        <v>19</v>
      </c>
      <c r="I83" s="2" t="n">
        <v>4085</v>
      </c>
      <c r="J83" s="2" t="n">
        <v>2083.35</v>
      </c>
      <c r="K83" s="2" t="n">
        <v>5</v>
      </c>
      <c r="L83" s="2" t="n">
        <v>10300</v>
      </c>
      <c r="M83" s="2" t="n">
        <f aca="false">I83-J83</f>
        <v>2001.65</v>
      </c>
      <c r="N83" s="3" t="n">
        <f aca="false">IF(I83=0,0,M83/I83)</f>
        <v>0.49</v>
      </c>
      <c r="O83" s="2" t="n">
        <f aca="false">I83-L83</f>
        <v>-6215</v>
      </c>
    </row>
    <row r="84" customFormat="false" ht="15" hidden="false" customHeight="false" outlineLevel="0" collapsed="false">
      <c r="A84" s="0" t="s">
        <v>115</v>
      </c>
      <c r="B84" s="0" t="s">
        <v>28</v>
      </c>
      <c r="C84" s="0" t="s">
        <v>38</v>
      </c>
      <c r="D84" s="0" t="s">
        <v>18</v>
      </c>
      <c r="E84" s="0" t="s">
        <v>54</v>
      </c>
      <c r="F84" s="2" t="n">
        <v>3686</v>
      </c>
      <c r="G84" s="2" t="n">
        <v>217</v>
      </c>
      <c r="H84" s="2" t="n">
        <v>26</v>
      </c>
      <c r="I84" s="2" t="n">
        <v>7280</v>
      </c>
      <c r="J84" s="2" t="n">
        <v>4040.4</v>
      </c>
      <c r="K84" s="2" t="n">
        <v>3</v>
      </c>
      <c r="L84" s="2" t="n">
        <v>12100</v>
      </c>
      <c r="M84" s="2" t="n">
        <f aca="false">I84-J84</f>
        <v>3239.6</v>
      </c>
      <c r="N84" s="3" t="n">
        <f aca="false">IF(I84=0,0,M84/I84)</f>
        <v>0.445</v>
      </c>
      <c r="O84" s="2" t="n">
        <f aca="false">I84-L84</f>
        <v>-4820</v>
      </c>
    </row>
    <row r="85" customFormat="false" ht="15" hidden="false" customHeight="false" outlineLevel="0" collapsed="false">
      <c r="A85" s="0" t="s">
        <v>116</v>
      </c>
      <c r="B85" s="0" t="s">
        <v>30</v>
      </c>
      <c r="C85" s="0" t="s">
        <v>38</v>
      </c>
      <c r="D85" s="0" t="s">
        <v>18</v>
      </c>
      <c r="E85" s="0" t="s">
        <v>54</v>
      </c>
      <c r="F85" s="2" t="n">
        <v>3859</v>
      </c>
      <c r="G85" s="2" t="n">
        <v>250</v>
      </c>
      <c r="H85" s="2" t="n">
        <v>33</v>
      </c>
      <c r="I85" s="2" t="n">
        <v>11385</v>
      </c>
      <c r="J85" s="2" t="n">
        <v>6831</v>
      </c>
      <c r="K85" s="2" t="n">
        <v>9</v>
      </c>
      <c r="L85" s="2" t="n">
        <v>13900</v>
      </c>
      <c r="M85" s="2" t="n">
        <f aca="false">I85-J85</f>
        <v>4554</v>
      </c>
      <c r="N85" s="3" t="n">
        <f aca="false">IF(I85=0,0,M85/I85)</f>
        <v>0.4</v>
      </c>
      <c r="O85" s="2" t="n">
        <f aca="false">I85-L85</f>
        <v>-2515</v>
      </c>
    </row>
    <row r="86" customFormat="false" ht="15" hidden="false" customHeight="false" outlineLevel="0" collapsed="false">
      <c r="A86" s="0" t="s">
        <v>117</v>
      </c>
      <c r="B86" s="0" t="s">
        <v>16</v>
      </c>
      <c r="C86" s="0" t="s">
        <v>17</v>
      </c>
      <c r="D86" s="0" t="s">
        <v>18</v>
      </c>
      <c r="E86" s="0" t="s">
        <v>19</v>
      </c>
      <c r="F86" s="2" t="n">
        <v>4032</v>
      </c>
      <c r="G86" s="2" t="n">
        <v>141</v>
      </c>
      <c r="H86" s="2" t="n">
        <v>21</v>
      </c>
      <c r="I86" s="2" t="n">
        <v>3150</v>
      </c>
      <c r="J86" s="2" t="n">
        <v>1606.5</v>
      </c>
      <c r="K86" s="2" t="n">
        <v>4</v>
      </c>
      <c r="L86" s="2" t="n">
        <v>8500</v>
      </c>
      <c r="M86" s="2" t="n">
        <f aca="false">I86-J86</f>
        <v>1543.5</v>
      </c>
      <c r="N86" s="3" t="n">
        <f aca="false">IF(I86=0,0,M86/I86)</f>
        <v>0.49</v>
      </c>
      <c r="O86" s="2" t="n">
        <f aca="false">I86-L86</f>
        <v>-5350</v>
      </c>
    </row>
    <row r="87" customFormat="false" ht="15" hidden="false" customHeight="false" outlineLevel="0" collapsed="false">
      <c r="A87" s="0" t="s">
        <v>118</v>
      </c>
      <c r="B87" s="0" t="s">
        <v>21</v>
      </c>
      <c r="C87" s="0" t="s">
        <v>17</v>
      </c>
      <c r="D87" s="0" t="s">
        <v>31</v>
      </c>
      <c r="E87" s="0" t="s">
        <v>19</v>
      </c>
      <c r="F87" s="2" t="n">
        <v>4205</v>
      </c>
      <c r="G87" s="2" t="n">
        <v>172</v>
      </c>
      <c r="H87" s="2" t="n">
        <v>15</v>
      </c>
      <c r="I87" s="2" t="n">
        <v>3225</v>
      </c>
      <c r="J87" s="2" t="n">
        <v>1789.88</v>
      </c>
      <c r="K87" s="2" t="n">
        <v>3</v>
      </c>
      <c r="L87" s="2" t="n">
        <v>10300</v>
      </c>
      <c r="M87" s="2" t="n">
        <f aca="false">I87-J87</f>
        <v>1435.12</v>
      </c>
      <c r="N87" s="3" t="n">
        <f aca="false">IF(I87=0,0,M87/I87)</f>
        <v>0.444998449612403</v>
      </c>
      <c r="O87" s="2" t="n">
        <f aca="false">I87-L87</f>
        <v>-7075</v>
      </c>
    </row>
    <row r="88" customFormat="false" ht="15" hidden="false" customHeight="false" outlineLevel="0" collapsed="false">
      <c r="A88" s="0" t="s">
        <v>119</v>
      </c>
      <c r="B88" s="0" t="s">
        <v>23</v>
      </c>
      <c r="C88" s="0" t="s">
        <v>17</v>
      </c>
      <c r="D88" s="0" t="s">
        <v>31</v>
      </c>
      <c r="E88" s="0" t="s">
        <v>19</v>
      </c>
      <c r="F88" s="2" t="n">
        <v>4378</v>
      </c>
      <c r="G88" s="2" t="n">
        <v>205</v>
      </c>
      <c r="H88" s="2" t="n">
        <v>21</v>
      </c>
      <c r="I88" s="2" t="n">
        <v>5880</v>
      </c>
      <c r="J88" s="2" t="n">
        <v>3528</v>
      </c>
      <c r="K88" s="2" t="n">
        <v>2</v>
      </c>
      <c r="L88" s="2" t="n">
        <v>12100</v>
      </c>
      <c r="M88" s="2" t="n">
        <f aca="false">I88-J88</f>
        <v>2352</v>
      </c>
      <c r="N88" s="3" t="n">
        <f aca="false">IF(I88=0,0,M88/I88)</f>
        <v>0.4</v>
      </c>
      <c r="O88" s="2" t="n">
        <f aca="false">I88-L88</f>
        <v>-6220</v>
      </c>
    </row>
    <row r="89" customFormat="false" ht="15" hidden="false" customHeight="false" outlineLevel="0" collapsed="false">
      <c r="A89" s="0" t="s">
        <v>120</v>
      </c>
      <c r="B89" s="0" t="s">
        <v>25</v>
      </c>
      <c r="C89" s="0" t="s">
        <v>26</v>
      </c>
      <c r="D89" s="0" t="s">
        <v>31</v>
      </c>
      <c r="E89" s="0" t="s">
        <v>19</v>
      </c>
      <c r="F89" s="2" t="n">
        <v>4551</v>
      </c>
      <c r="G89" s="2" t="n">
        <v>241</v>
      </c>
      <c r="H89" s="2" t="n">
        <v>28</v>
      </c>
      <c r="I89" s="2" t="n">
        <v>9660</v>
      </c>
      <c r="J89" s="2" t="n">
        <v>4926.6</v>
      </c>
      <c r="K89" s="2" t="n">
        <v>1</v>
      </c>
      <c r="L89" s="2" t="n">
        <v>13900</v>
      </c>
      <c r="M89" s="2" t="n">
        <f aca="false">I89-J89</f>
        <v>4733.4</v>
      </c>
      <c r="N89" s="3" t="n">
        <f aca="false">IF(I89=0,0,M89/I89)</f>
        <v>0.49</v>
      </c>
      <c r="O89" s="2" t="n">
        <f aca="false">I89-L89</f>
        <v>-4240</v>
      </c>
    </row>
    <row r="90" customFormat="false" ht="15" hidden="false" customHeight="false" outlineLevel="0" collapsed="false">
      <c r="A90" s="0" t="s">
        <v>121</v>
      </c>
      <c r="B90" s="0" t="s">
        <v>28</v>
      </c>
      <c r="C90" s="0" t="s">
        <v>26</v>
      </c>
      <c r="D90" s="0" t="s">
        <v>31</v>
      </c>
      <c r="E90" s="0" t="s">
        <v>19</v>
      </c>
      <c r="F90" s="2" t="n">
        <v>4724</v>
      </c>
      <c r="G90" s="2" t="n">
        <v>278</v>
      </c>
      <c r="H90" s="2" t="n">
        <v>37</v>
      </c>
      <c r="I90" s="2" t="n">
        <v>5550</v>
      </c>
      <c r="J90" s="2" t="n">
        <v>3080.25</v>
      </c>
      <c r="K90" s="2" t="n">
        <v>4</v>
      </c>
      <c r="L90" s="2" t="n">
        <v>8500</v>
      </c>
      <c r="M90" s="2" t="n">
        <f aca="false">I90-J90</f>
        <v>2469.75</v>
      </c>
      <c r="N90" s="3" t="n">
        <f aca="false">IF(I90=0,0,M90/I90)</f>
        <v>0.445</v>
      </c>
      <c r="O90" s="2" t="n">
        <f aca="false">I90-L90</f>
        <v>-2950</v>
      </c>
    </row>
    <row r="91" customFormat="false" ht="15" hidden="false" customHeight="false" outlineLevel="0" collapsed="false">
      <c r="A91" s="0" t="s">
        <v>122</v>
      </c>
      <c r="B91" s="0" t="s">
        <v>30</v>
      </c>
      <c r="C91" s="0" t="s">
        <v>26</v>
      </c>
      <c r="D91" s="0" t="s">
        <v>31</v>
      </c>
      <c r="E91" s="0" t="s">
        <v>19</v>
      </c>
      <c r="F91" s="2" t="n">
        <v>4897</v>
      </c>
      <c r="G91" s="2" t="n">
        <v>318</v>
      </c>
      <c r="H91" s="2" t="n">
        <v>47</v>
      </c>
      <c r="I91" s="2" t="n">
        <v>10105</v>
      </c>
      <c r="J91" s="2" t="n">
        <v>6063</v>
      </c>
      <c r="K91" s="2" t="n">
        <v>11</v>
      </c>
      <c r="L91" s="2" t="n">
        <v>10300</v>
      </c>
      <c r="M91" s="2" t="n">
        <f aca="false">I91-J91</f>
        <v>4042</v>
      </c>
      <c r="N91" s="3" t="n">
        <f aca="false">IF(I91=0,0,M91/I91)</f>
        <v>0.4</v>
      </c>
      <c r="O91" s="2" t="n">
        <f aca="false">I91-L91</f>
        <v>-195</v>
      </c>
    </row>
    <row r="92" customFormat="false" ht="15" hidden="false" customHeight="false" outlineLevel="0" collapsed="false">
      <c r="A92" s="0" t="s">
        <v>123</v>
      </c>
      <c r="B92" s="0" t="s">
        <v>16</v>
      </c>
      <c r="C92" s="0" t="s">
        <v>33</v>
      </c>
      <c r="D92" s="0" t="s">
        <v>40</v>
      </c>
      <c r="E92" s="0" t="s">
        <v>19</v>
      </c>
      <c r="F92" s="2" t="n">
        <v>5070</v>
      </c>
      <c r="G92" s="2" t="n">
        <v>177</v>
      </c>
      <c r="H92" s="2" t="n">
        <v>15</v>
      </c>
      <c r="I92" s="2" t="n">
        <v>4200</v>
      </c>
      <c r="J92" s="2" t="n">
        <v>2142</v>
      </c>
      <c r="K92" s="2" t="n">
        <v>0</v>
      </c>
      <c r="L92" s="2" t="n">
        <v>12100</v>
      </c>
      <c r="M92" s="2" t="n">
        <f aca="false">I92-J92</f>
        <v>2058</v>
      </c>
      <c r="N92" s="3" t="n">
        <f aca="false">IF(I92=0,0,M92/I92)</f>
        <v>0.49</v>
      </c>
      <c r="O92" s="2" t="n">
        <f aca="false">I92-L92</f>
        <v>-7900</v>
      </c>
    </row>
    <row r="93" customFormat="false" ht="15" hidden="false" customHeight="false" outlineLevel="0" collapsed="false">
      <c r="A93" s="0" t="s">
        <v>124</v>
      </c>
      <c r="B93" s="0" t="s">
        <v>21</v>
      </c>
      <c r="C93" s="0" t="s">
        <v>33</v>
      </c>
      <c r="D93" s="0" t="s">
        <v>40</v>
      </c>
      <c r="E93" s="0" t="s">
        <v>35</v>
      </c>
      <c r="F93" s="2" t="n">
        <v>5243</v>
      </c>
      <c r="G93" s="2" t="n">
        <v>214</v>
      </c>
      <c r="H93" s="2" t="n">
        <v>22</v>
      </c>
      <c r="I93" s="2" t="n">
        <v>7590</v>
      </c>
      <c r="J93" s="2" t="n">
        <v>4212.45</v>
      </c>
      <c r="K93" s="2" t="n">
        <v>1</v>
      </c>
      <c r="L93" s="2" t="n">
        <v>13900</v>
      </c>
      <c r="M93" s="2" t="n">
        <f aca="false">I93-J93</f>
        <v>3377.55</v>
      </c>
      <c r="N93" s="3" t="n">
        <f aca="false">IF(I93=0,0,M93/I93)</f>
        <v>0.445</v>
      </c>
      <c r="O93" s="2" t="n">
        <f aca="false">I93-L93</f>
        <v>-6310</v>
      </c>
    </row>
    <row r="94" customFormat="false" ht="15" hidden="false" customHeight="false" outlineLevel="0" collapsed="false">
      <c r="A94" s="0" t="s">
        <v>125</v>
      </c>
      <c r="B94" s="0" t="s">
        <v>23</v>
      </c>
      <c r="C94" s="0" t="s">
        <v>33</v>
      </c>
      <c r="D94" s="0" t="s">
        <v>40</v>
      </c>
      <c r="E94" s="0" t="s">
        <v>35</v>
      </c>
      <c r="F94" s="2" t="n">
        <v>5416</v>
      </c>
      <c r="G94" s="2" t="n">
        <v>254</v>
      </c>
      <c r="H94" s="2" t="n">
        <v>30</v>
      </c>
      <c r="I94" s="2" t="n">
        <v>4500</v>
      </c>
      <c r="J94" s="2" t="n">
        <v>2700</v>
      </c>
      <c r="K94" s="2" t="n">
        <v>1</v>
      </c>
      <c r="L94" s="2" t="n">
        <v>8500</v>
      </c>
      <c r="M94" s="2" t="n">
        <f aca="false">I94-J94</f>
        <v>1800</v>
      </c>
      <c r="N94" s="3" t="n">
        <f aca="false">IF(I94=0,0,M94/I94)</f>
        <v>0.4</v>
      </c>
      <c r="O94" s="2" t="n">
        <f aca="false">I94-L94</f>
        <v>-4000</v>
      </c>
    </row>
    <row r="95" customFormat="false" ht="15" hidden="false" customHeight="false" outlineLevel="0" collapsed="false">
      <c r="A95" s="0" t="s">
        <v>126</v>
      </c>
      <c r="B95" s="0" t="s">
        <v>25</v>
      </c>
      <c r="C95" s="0" t="s">
        <v>38</v>
      </c>
      <c r="D95" s="0" t="s">
        <v>40</v>
      </c>
      <c r="E95" s="0" t="s">
        <v>35</v>
      </c>
      <c r="F95" s="2" t="n">
        <v>5589</v>
      </c>
      <c r="G95" s="2" t="n">
        <v>296</v>
      </c>
      <c r="H95" s="2" t="n">
        <v>39</v>
      </c>
      <c r="I95" s="2" t="n">
        <v>8385</v>
      </c>
      <c r="J95" s="2" t="n">
        <v>4276.35</v>
      </c>
      <c r="K95" s="2" t="n">
        <v>13</v>
      </c>
      <c r="L95" s="2" t="n">
        <v>10300</v>
      </c>
      <c r="M95" s="2" t="n">
        <f aca="false">I95-J95</f>
        <v>4108.65</v>
      </c>
      <c r="N95" s="3" t="n">
        <f aca="false">IF(I95=0,0,M95/I95)</f>
        <v>0.49</v>
      </c>
      <c r="O95" s="2" t="n">
        <f aca="false">I95-L95</f>
        <v>-1915</v>
      </c>
    </row>
    <row r="96" customFormat="false" ht="15" hidden="false" customHeight="false" outlineLevel="0" collapsed="false">
      <c r="A96" s="0" t="s">
        <v>127</v>
      </c>
      <c r="B96" s="0" t="s">
        <v>28</v>
      </c>
      <c r="C96" s="0" t="s">
        <v>38</v>
      </c>
      <c r="D96" s="0" t="s">
        <v>40</v>
      </c>
      <c r="E96" s="0" t="s">
        <v>35</v>
      </c>
      <c r="F96" s="2" t="n">
        <v>5762</v>
      </c>
      <c r="G96" s="2" t="n">
        <v>339</v>
      </c>
      <c r="H96" s="2" t="n">
        <v>50</v>
      </c>
      <c r="I96" s="2" t="n">
        <v>14000</v>
      </c>
      <c r="J96" s="2" t="n">
        <v>7770</v>
      </c>
      <c r="K96" s="2" t="n">
        <v>10</v>
      </c>
      <c r="L96" s="2" t="n">
        <v>12100</v>
      </c>
      <c r="M96" s="2" t="n">
        <f aca="false">I96-J96</f>
        <v>6230</v>
      </c>
      <c r="N96" s="3" t="n">
        <f aca="false">IF(I96=0,0,M96/I96)</f>
        <v>0.445</v>
      </c>
      <c r="O96" s="2" t="n">
        <f aca="false">I96-L96</f>
        <v>1900</v>
      </c>
    </row>
    <row r="97" customFormat="false" ht="15" hidden="false" customHeight="false" outlineLevel="0" collapsed="false">
      <c r="A97" s="0" t="s">
        <v>128</v>
      </c>
      <c r="B97" s="0" t="s">
        <v>30</v>
      </c>
      <c r="C97" s="0" t="s">
        <v>38</v>
      </c>
      <c r="D97" s="0" t="s">
        <v>47</v>
      </c>
      <c r="E97" s="0" t="s">
        <v>35</v>
      </c>
      <c r="F97" s="2" t="n">
        <v>5935</v>
      </c>
      <c r="G97" s="2" t="n">
        <v>385</v>
      </c>
      <c r="H97" s="2" t="n">
        <v>34</v>
      </c>
      <c r="I97" s="2" t="n">
        <v>11730</v>
      </c>
      <c r="J97" s="2" t="n">
        <v>7038</v>
      </c>
      <c r="K97" s="2" t="n">
        <v>9</v>
      </c>
      <c r="L97" s="2" t="n">
        <v>13900</v>
      </c>
      <c r="M97" s="2" t="n">
        <f aca="false">I97-J97</f>
        <v>4692</v>
      </c>
      <c r="N97" s="3" t="n">
        <f aca="false">IF(I97=0,0,M97/I97)</f>
        <v>0.4</v>
      </c>
      <c r="O97" s="2" t="n">
        <f aca="false">I97-L97</f>
        <v>-2170</v>
      </c>
    </row>
  </sheetData>
  <autoFilter ref="A1:O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1</v>
      </c>
      <c r="B1" s="1" t="s">
        <v>8</v>
      </c>
      <c r="C1" s="1" t="s">
        <v>9</v>
      </c>
      <c r="D1" s="1" t="s">
        <v>12</v>
      </c>
      <c r="E1" s="1" t="s">
        <v>129</v>
      </c>
      <c r="F1" s="1" t="s">
        <v>130</v>
      </c>
      <c r="G1" s="1" t="s">
        <v>13</v>
      </c>
      <c r="H1" s="1" t="s">
        <v>131</v>
      </c>
    </row>
    <row r="2" customFormat="false" ht="15" hidden="false" customHeight="false" outlineLevel="0" collapsed="false">
      <c r="A2" s="0" t="s">
        <v>16</v>
      </c>
      <c r="B2" s="2" t="n">
        <f aca="false">SUMIF(Sales_Data!B2:B97,A2,Sales_Data!I2:I97)</f>
        <v>90150</v>
      </c>
      <c r="C2" s="2" t="n">
        <f aca="false">SUMIF(Sales_Data!B2:B97,A2,Sales_Data!J2:J97)</f>
        <v>45976.5</v>
      </c>
      <c r="D2" s="2" t="n">
        <f aca="false">B2-C2</f>
        <v>44173.5</v>
      </c>
      <c r="E2" s="2" t="n">
        <f aca="false">SUMIF(Sales_Data!B2:B97,A2,Sales_Data!L2:L97)</f>
        <v>164800</v>
      </c>
      <c r="F2" s="2" t="n">
        <f aca="false">B2-E2</f>
        <v>-74650</v>
      </c>
      <c r="G2" s="3" t="n">
        <f aca="false">IF(B2=0,0,D2/B2)</f>
        <v>0.49</v>
      </c>
      <c r="H2" s="3" t="s">
        <v>132</v>
      </c>
    </row>
    <row r="3" customFormat="false" ht="15" hidden="false" customHeight="false" outlineLevel="0" collapsed="false">
      <c r="A3" s="0" t="s">
        <v>21</v>
      </c>
      <c r="B3" s="2" t="n">
        <f aca="false">SUMIF(Sales_Data!B2:B97,A3,Sales_Data!I2:I97)</f>
        <v>145565</v>
      </c>
      <c r="C3" s="2" t="n">
        <f aca="false">SUMIF(Sales_Data!B2:B97,A3,Sales_Data!J2:J97)</f>
        <v>80788.61</v>
      </c>
      <c r="D3" s="2" t="n">
        <f aca="false">B3-C3</f>
        <v>64776.39</v>
      </c>
      <c r="E3" s="2" t="n">
        <f aca="false">SUMIF(Sales_Data!B2:B97,A3,Sales_Data!L2:L97)</f>
        <v>193600</v>
      </c>
      <c r="F3" s="2" t="n">
        <f aca="false">B3-E3</f>
        <v>-48035</v>
      </c>
      <c r="G3" s="3" t="n">
        <f aca="false">IF(B3=0,0,D3/B3)</f>
        <v>0.444999759557586</v>
      </c>
      <c r="H3" s="3" t="n">
        <f aca="false">IF(B2=0,0,B3/B2-1)</f>
        <v>0.614697726012202</v>
      </c>
    </row>
    <row r="4" customFormat="false" ht="15" hidden="false" customHeight="false" outlineLevel="0" collapsed="false">
      <c r="A4" s="0" t="s">
        <v>23</v>
      </c>
      <c r="B4" s="2" t="n">
        <f aca="false">SUMIF(Sales_Data!B2:B97,A4,Sales_Data!I2:I97)</f>
        <v>130880</v>
      </c>
      <c r="C4" s="2" t="n">
        <f aca="false">SUMIF(Sales_Data!B2:B97,A4,Sales_Data!J2:J97)</f>
        <v>78528</v>
      </c>
      <c r="D4" s="2" t="n">
        <f aca="false">B4-C4</f>
        <v>52352</v>
      </c>
      <c r="E4" s="2" t="n">
        <f aca="false">SUMIF(Sales_Data!B2:B97,A4,Sales_Data!L2:L97)</f>
        <v>164800</v>
      </c>
      <c r="F4" s="2" t="n">
        <f aca="false">B4-E4</f>
        <v>-33920</v>
      </c>
      <c r="G4" s="3" t="n">
        <f aca="false">IF(B4=0,0,D4/B4)</f>
        <v>0.4</v>
      </c>
      <c r="H4" s="3" t="n">
        <f aca="false">IF(B3=0,0,B4/B3-1)</f>
        <v>-0.100882767148696</v>
      </c>
    </row>
    <row r="5" customFormat="false" ht="15" hidden="false" customHeight="false" outlineLevel="0" collapsed="false">
      <c r="A5" s="0" t="s">
        <v>25</v>
      </c>
      <c r="B5" s="2" t="n">
        <f aca="false">SUMIF(Sales_Data!B2:B97,A5,Sales_Data!I2:I97)</f>
        <v>189070</v>
      </c>
      <c r="C5" s="2" t="n">
        <f aca="false">SUMIF(Sales_Data!B2:B97,A5,Sales_Data!J2:J97)</f>
        <v>96425.7</v>
      </c>
      <c r="D5" s="2" t="n">
        <f aca="false">B5-C5</f>
        <v>92644.3</v>
      </c>
      <c r="E5" s="2" t="n">
        <f aca="false">SUMIF(Sales_Data!B2:B97,A5,Sales_Data!L2:L97)</f>
        <v>193600</v>
      </c>
      <c r="F5" s="2" t="n">
        <f aca="false">B5-E5</f>
        <v>-4530</v>
      </c>
      <c r="G5" s="3" t="n">
        <f aca="false">IF(B5=0,0,D5/B5)</f>
        <v>0.49</v>
      </c>
      <c r="H5" s="3" t="n">
        <f aca="false">IF(B4=0,0,B5/B4-1)</f>
        <v>0.444605745721271</v>
      </c>
    </row>
    <row r="6" customFormat="false" ht="15" hidden="false" customHeight="false" outlineLevel="0" collapsed="false">
      <c r="A6" s="0" t="s">
        <v>28</v>
      </c>
      <c r="B6" s="2" t="n">
        <f aca="false">SUMIF(Sales_Data!B2:B97,A6,Sales_Data!I2:I97)</f>
        <v>159920</v>
      </c>
      <c r="C6" s="2" t="n">
        <f aca="false">SUMIF(Sales_Data!B2:B97,A6,Sales_Data!J2:J97)</f>
        <v>88755.6</v>
      </c>
      <c r="D6" s="2" t="n">
        <f aca="false">B6-C6</f>
        <v>71164.4</v>
      </c>
      <c r="E6" s="2" t="n">
        <f aca="false">SUMIF(Sales_Data!B2:B97,A6,Sales_Data!L2:L97)</f>
        <v>164800</v>
      </c>
      <c r="F6" s="2" t="n">
        <f aca="false">B6-E6</f>
        <v>-4880</v>
      </c>
      <c r="G6" s="3" t="n">
        <f aca="false">IF(B6=0,0,D6/B6)</f>
        <v>0.445</v>
      </c>
      <c r="H6" s="3" t="n">
        <f aca="false">IF(B5=0,0,B6/B5-1)</f>
        <v>-0.154175702120908</v>
      </c>
    </row>
    <row r="7" customFormat="false" ht="15" hidden="false" customHeight="false" outlineLevel="0" collapsed="false">
      <c r="A7" s="0" t="s">
        <v>30</v>
      </c>
      <c r="B7" s="2" t="n">
        <f aca="false">SUMIF(Sales_Data!B2:B97,A7,Sales_Data!I2:I97)</f>
        <v>217705</v>
      </c>
      <c r="C7" s="2" t="n">
        <f aca="false">SUMIF(Sales_Data!B2:B97,A7,Sales_Data!J2:J97)</f>
        <v>130623</v>
      </c>
      <c r="D7" s="2" t="n">
        <f aca="false">B7-C7</f>
        <v>87082</v>
      </c>
      <c r="E7" s="2" t="n">
        <f aca="false">SUMIF(Sales_Data!B2:B97,A7,Sales_Data!L2:L97)</f>
        <v>193600</v>
      </c>
      <c r="F7" s="2" t="n">
        <f aca="false">B7-E7</f>
        <v>24105</v>
      </c>
      <c r="G7" s="3" t="n">
        <f aca="false">IF(B7=0,0,D7/B7)</f>
        <v>0.4</v>
      </c>
      <c r="H7" s="3" t="n">
        <f aca="false">IF(B6=0,0,B7/B6-1)</f>
        <v>0.36133691845923</v>
      </c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3</v>
      </c>
      <c r="B1" s="1" t="s">
        <v>8</v>
      </c>
      <c r="C1" s="1" t="s">
        <v>9</v>
      </c>
      <c r="D1" s="1" t="s">
        <v>12</v>
      </c>
      <c r="E1" s="1" t="s">
        <v>7</v>
      </c>
      <c r="F1" s="1" t="s">
        <v>133</v>
      </c>
    </row>
    <row r="2" customFormat="false" ht="15" hidden="false" customHeight="false" outlineLevel="0" collapsed="false">
      <c r="A2" s="0" t="s">
        <v>18</v>
      </c>
      <c r="B2" s="2" t="n">
        <f aca="false">SUMIF(Sales_Data!D2:D97,A2,Sales_Data!I2:I97)</f>
        <v>191300</v>
      </c>
      <c r="C2" s="2" t="n">
        <f aca="false">SUMIF(Sales_Data!D2:D97,A2,Sales_Data!J2:J97)</f>
        <v>106755.61</v>
      </c>
      <c r="D2" s="2" t="n">
        <f aca="false">B2-C2</f>
        <v>84544.39</v>
      </c>
      <c r="E2" s="2" t="n">
        <f aca="false">SUMIF(Sales_Data!D2:D97,A2,Sales_Data!H2:H97)</f>
        <v>829</v>
      </c>
      <c r="F2" s="2" t="n">
        <f aca="false">IF(E2=0,0,B2/E2)</f>
        <v>230.759951749095</v>
      </c>
    </row>
    <row r="3" customFormat="false" ht="15" hidden="false" customHeight="false" outlineLevel="0" collapsed="false">
      <c r="A3" s="0" t="s">
        <v>31</v>
      </c>
      <c r="B3" s="2" t="n">
        <f aca="false">SUMIF(Sales_Data!D2:D97,A3,Sales_Data!I2:I97)</f>
        <v>214860</v>
      </c>
      <c r="C3" s="2" t="n">
        <f aca="false">SUMIF(Sales_Data!D2:D97,A3,Sales_Data!J2:J97)</f>
        <v>119870.34</v>
      </c>
      <c r="D3" s="2" t="n">
        <f aca="false">B3-C3</f>
        <v>94989.66</v>
      </c>
      <c r="E3" s="2" t="n">
        <f aca="false">SUMIF(Sales_Data!D2:D97,A3,Sales_Data!H2:H97)</f>
        <v>915</v>
      </c>
      <c r="F3" s="2" t="n">
        <f aca="false">IF(E3=0,0,B3/E3)</f>
        <v>234.819672131148</v>
      </c>
    </row>
    <row r="4" customFormat="false" ht="15" hidden="false" customHeight="false" outlineLevel="0" collapsed="false">
      <c r="A4" s="0" t="s">
        <v>40</v>
      </c>
      <c r="B4" s="2" t="n">
        <f aca="false">SUMIF(Sales_Data!D2:D97,A4,Sales_Data!I2:I97)</f>
        <v>253330</v>
      </c>
      <c r="C4" s="2" t="n">
        <f aca="false">SUMIF(Sales_Data!D2:D97,A4,Sales_Data!J2:J97)</f>
        <v>141918.68</v>
      </c>
      <c r="D4" s="2" t="n">
        <f aca="false">B4-C4</f>
        <v>111411.32</v>
      </c>
      <c r="E4" s="2" t="n">
        <f aca="false">SUMIF(Sales_Data!D2:D97,A4,Sales_Data!H2:H97)</f>
        <v>999</v>
      </c>
      <c r="F4" s="2" t="n">
        <f aca="false">IF(E4=0,0,B4/E4)</f>
        <v>253.583583583584</v>
      </c>
    </row>
    <row r="5" customFormat="false" ht="15" hidden="false" customHeight="false" outlineLevel="0" collapsed="false">
      <c r="A5" s="0" t="s">
        <v>47</v>
      </c>
      <c r="B5" s="2" t="n">
        <f aca="false">SUMIF(Sales_Data!D2:D97,A5,Sales_Data!I2:I97)</f>
        <v>273800</v>
      </c>
      <c r="C5" s="2" t="n">
        <f aca="false">SUMIF(Sales_Data!D2:D97,A5,Sales_Data!J2:J97)</f>
        <v>152552.78</v>
      </c>
      <c r="D5" s="2" t="n">
        <f aca="false">B5-C5</f>
        <v>121247.22</v>
      </c>
      <c r="E5" s="2" t="n">
        <f aca="false">SUMIF(Sales_Data!D2:D97,A5,Sales_Data!H2:H97)</f>
        <v>1002</v>
      </c>
      <c r="F5" s="2" t="n">
        <f aca="false">IF(E5=0,0,B5/E5)</f>
        <v>273.253493013972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134</v>
      </c>
      <c r="B1" s="1" t="s">
        <v>135</v>
      </c>
      <c r="C1" s="1" t="s">
        <v>8</v>
      </c>
      <c r="D1" s="1" t="s">
        <v>136</v>
      </c>
      <c r="E1" s="1" t="s">
        <v>9</v>
      </c>
      <c r="F1" s="1" t="s">
        <v>12</v>
      </c>
    </row>
    <row r="2" customFormat="false" ht="15" hidden="false" customHeight="false" outlineLevel="0" collapsed="false">
      <c r="A2" s="0" t="s">
        <v>137</v>
      </c>
      <c r="B2" s="3" t="n">
        <v>-0.1</v>
      </c>
      <c r="C2" s="2" t="n">
        <f aca="false">Monthly_Finance!B7*(1+B2)</f>
        <v>195934.5</v>
      </c>
      <c r="D2" s="3" t="n">
        <f aca="false">SUM(Monthly_Finance!C2:C7)/SUM(Monthly_Finance!B2:B7)</f>
        <v>0.55834457671249</v>
      </c>
      <c r="E2" s="2" t="n">
        <f aca="false">C2*D2</f>
        <v>109398.965465873</v>
      </c>
      <c r="F2" s="2" t="n">
        <f aca="false">C2-E2</f>
        <v>86535.5345341266</v>
      </c>
    </row>
    <row r="3" customFormat="false" ht="15" hidden="false" customHeight="false" outlineLevel="0" collapsed="false">
      <c r="A3" s="0" t="s">
        <v>138</v>
      </c>
      <c r="B3" s="3" t="n">
        <v>0</v>
      </c>
      <c r="C3" s="2" t="n">
        <f aca="false">Monthly_Finance!B7*(1+B3)</f>
        <v>217705</v>
      </c>
      <c r="D3" s="3" t="n">
        <f aca="false">SUM(Monthly_Finance!C2:C7)/SUM(Monthly_Finance!B2:B7)</f>
        <v>0.55834457671249</v>
      </c>
      <c r="E3" s="2" t="n">
        <f aca="false">C3*D3</f>
        <v>121554.406073193</v>
      </c>
      <c r="F3" s="2" t="n">
        <f aca="false">C3-E3</f>
        <v>96150.5939268073</v>
      </c>
    </row>
    <row r="4" customFormat="false" ht="15" hidden="false" customHeight="false" outlineLevel="0" collapsed="false">
      <c r="A4" s="0" t="s">
        <v>139</v>
      </c>
      <c r="B4" s="3" t="n">
        <v>0.1</v>
      </c>
      <c r="C4" s="2" t="n">
        <f aca="false">Monthly_Finance!B7*(1+B4)</f>
        <v>239475.5</v>
      </c>
      <c r="D4" s="3" t="n">
        <f aca="false">SUM(Monthly_Finance!C2:C7)/SUM(Monthly_Finance!B2:B7)</f>
        <v>0.55834457671249</v>
      </c>
      <c r="E4" s="2" t="n">
        <f aca="false">C4*D4</f>
        <v>133709.846680512</v>
      </c>
      <c r="F4" s="2" t="n">
        <f aca="false">C4-E4</f>
        <v>105765.653319488</v>
      </c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" t="s">
        <v>140</v>
      </c>
      <c r="B1" s="1" t="s">
        <v>141</v>
      </c>
    </row>
    <row r="2" customFormat="false" ht="15" hidden="false" customHeight="false" outlineLevel="0" collapsed="false">
      <c r="A2" s="0" t="s">
        <v>142</v>
      </c>
      <c r="B2" s="0" t="s">
        <v>143</v>
      </c>
    </row>
    <row r="3" customFormat="false" ht="15" hidden="false" customHeight="false" outlineLevel="0" collapsed="false">
      <c r="A3" s="0" t="s">
        <v>144</v>
      </c>
      <c r="B3" s="0" t="s">
        <v>145</v>
      </c>
    </row>
    <row r="4" customFormat="false" ht="15" hidden="false" customHeight="false" outlineLevel="0" collapsed="false">
      <c r="A4" s="0" t="s">
        <v>146</v>
      </c>
      <c r="B4" s="0" t="s">
        <v>147</v>
      </c>
    </row>
    <row r="5" customFormat="false" ht="15" hidden="false" customHeight="false" outlineLevel="0" collapsed="false">
      <c r="A5" s="0" t="s">
        <v>148</v>
      </c>
      <c r="B5" s="0" t="s">
        <v>149</v>
      </c>
    </row>
    <row r="6" customFormat="false" ht="15" hidden="false" customHeight="false" outlineLevel="0" collapsed="false">
      <c r="A6" s="0" t="s">
        <v>150</v>
      </c>
      <c r="B6" s="0" t="s">
        <v>151</v>
      </c>
    </row>
    <row r="7" customFormat="false" ht="15" hidden="false" customHeight="false" outlineLevel="0" collapsed="false">
      <c r="A7" s="0" t="s">
        <v>152</v>
      </c>
      <c r="B7" s="0" t="s">
        <v>153</v>
      </c>
    </row>
    <row r="8" customFormat="false" ht="15" hidden="false" customHeight="false" outlineLevel="0" collapsed="false">
      <c r="A8" s="0" t="s">
        <v>154</v>
      </c>
      <c r="B8" s="0" t="s">
        <v>155</v>
      </c>
    </row>
    <row r="9" customFormat="false" ht="15" hidden="false" customHeight="false" outlineLevel="0" collapsed="false">
      <c r="A9" s="0" t="s">
        <v>156</v>
      </c>
      <c r="B9" s="0" t="s">
        <v>157</v>
      </c>
    </row>
    <row r="10" customFormat="false" ht="15" hidden="false" customHeight="false" outlineLevel="0" collapsed="false">
      <c r="A10" s="0" t="s">
        <v>158</v>
      </c>
      <c r="B10" s="0" t="s">
        <v>159</v>
      </c>
    </row>
    <row r="11" customFormat="false" ht="15" hidden="false" customHeight="false" outlineLevel="0" collapsed="false">
      <c r="A11" s="0" t="s">
        <v>160</v>
      </c>
      <c r="B11" s="0" t="s">
        <v>161</v>
      </c>
    </row>
    <row r="12" customFormat="false" ht="15" hidden="false" customHeight="false" outlineLevel="0" collapsed="false">
      <c r="A12" s="0" t="s">
        <v>162</v>
      </c>
      <c r="B12" s="0" t="s">
        <v>163</v>
      </c>
    </row>
  </sheetData>
  <autoFilter ref="A1: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2026-09-07T01:45:21Z</dcterms:created>
  <dc:creator>openpyxl</dc:creator>
  <dc:description/>
  <dc:language>en-SG</dc:language>
  <cp:lastModifiedBy/>
  <dcterms:modified xsi:type="dcterms:W3CDTF">2026-09-07T01:45:21Z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