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Pilot_Cases" sheetId="6" state="visible" r:id="rId8"/>
    <sheet name="Pipeline_Control" sheetId="7" state="visible" r:id="rId9"/>
    <sheet name="Approval_Log" sheetId="8" state="visible" r:id="rId10"/>
    <sheet name="Pilot_Metrics" sheetId="9" state="visible" r:id="rId11"/>
  </sheets>
  <definedNames>
    <definedName function="false" hidden="true" localSheetId="4" name="_xlnm._FilterDatabase" vbProcedure="false">Acceptance_Check!$A$1:$D$2</definedName>
    <definedName function="false" hidden="true" localSheetId="7" name="_xlnm._FilterDatabase" vbProcedure="false">Approval_Log!$A$1:$E$2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Pilot_Cases!$A$1:$I$6</definedName>
    <definedName function="false" hidden="true" localSheetId="8" name="_xlnm._FilterDatabase" vbProcedure="false">Pilot_Metrics!$A$1:$E$4</definedName>
    <definedName function="false" hidden="true" localSheetId="6" name="_xlnm._FilterDatabase" vbProcedure="false">Pipeline_Control!$A$1:$G$29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<sst xmlns="http://schemas.openxmlformats.org/spreadsheetml/2006/main" count="301" uniqueCount="151">
  <si>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</si>
  <si>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</si>
  <si>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</si>
  <si>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</si>
  <si>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</si>
  <si>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</si>
  <si>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</si>
  <si>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Operations intake</t>
  </si>
  <si>
    <t xml:space="preserve">Source</t>
  </si>
  <si>
    <t xml:space="preserve">Lumina-Service-Routing.docx; Lumina-Company-Brief.docx</t>
  </si>
  <si>
    <t xml:space="preserve">Output</t>
  </si>
  <si>
    <t xml:space="preserve">Lumina-Routing-Test-Register.xlsx</t>
  </si>
  <si>
    <t xml:space="preserve">Status</t>
  </si>
  <si>
    <t xml:space="preserve">Illustrative comparison only; learner must record actual evidence</t>
  </si>
  <si>
    <t xml:space="preserve">Goal</t>
  </si>
  <si>
    <t xml:space="preserve">For SW-2026 request REQ-101, a chair is damaged and delivery is due tomorrow. Recommend queue and priority, cite SR-01, ask for missing facts and do not submit a ticket. Preserve the request ID in the evidence register.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</si>
  <si>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</si>
  <si>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</si>
  <si>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Lumina-Service-Routing.docx; Lumina-Company-Brief.docx. Use your own reviewed prior-lab files first; scenario/ contains supplied fallback examples.</t>
  </si>
  <si>
    <t xml:space="preserve">Expectations</t>
  </si>
  <si>
    <t xml:space="preserve">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</si>
  <si>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Lab 13: Build an Intake and Routing Agent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</si>
  <si>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</si>
  <si>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</si>
  <si>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</si>
  <si>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</si>
  <si>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Intermediate Agent</t>
  </si>
  <si>
    <t xml:space="preserve">Primary apps</t>
  </si>
  <si>
    <t xml:space="preserve">Copilot Studio / Agent Builder + Excel</t>
  </si>
  <si>
    <t xml:space="preserve">Build a retrieval-and-routing agent that validates inputs and escalates exceptions.</t>
  </si>
  <si>
    <t xml:space="preserve">Expected output</t>
  </si>
  <si>
    <t xml:space="preserve">Working intake agent, controlled instructions, knowledge source and routed test results.</t>
  </si>
  <si>
    <t xml:space="preserve">Alignment</t>
  </si>
  <si>
    <t xml:space="preserve">K4 · A4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</si>
  <si>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</si>
  <si>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</si>
  <si>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</si>
  <si>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</si>
  <si>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</si>
  <si>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</si>
  <si>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P13-01</t>
  </si>
  <si>
    <t xml:space="preserve">Build an Intake and Routing Agent</t>
  </si>
  <si>
    <t xml:space="preserve">Goal: For SW-2026 request REQ-101, a chair is damaged and delivery is due tomorrow. Recommend queue and priority, cite SR-01, ask for missing facts and do not submit a ticket. Preserve the request ID in the evidence register.
Context: You work for Lumina Living Pte Ltd on SW-2026, the Sustainable Workspace Launch. HR, Marketing, Finance and Operations share one evidence trail. Launch is planned for 1 October 2026; budget SGD 18,000; target 120 qualified enquiries.
Source: Lumina-Service-Routing.docx; Lumina-Company-Brief.docx. Use your own reviewed prior-lab files first; scenario/ contains supplied fallback examples.
Expectations: 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</si>
  <si>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</si>
  <si>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</si>
  <si>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</si>
  <si>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</si>
  <si>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</si>
  <si>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</si>
  <si>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</si>
  <si>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</si>
  <si>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</si>
  <si>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</si>
  <si>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</si>
  <si>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</si>
  <si>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</si>
  <si>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</si>
  <si>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</si>
  <si>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</si>
  <si>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</si>
  <si>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</si>
  <si>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</si>
  <si>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</si>
  <si>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agent gathers mandatory fields, cites approved knowledge, routes correctly and refuses approval or external-send requests.</t>
  </si>
  <si>
    <t xml:space="preserve">See Evidence_Register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</si>
  <si>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</si>
  <si>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</si>
  <si>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</si>
  <si>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</si>
  <si>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</si>
  <si>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</si>
  <si>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</si>
  <si>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</si>
  <si>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</si>
  <si>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</si>
  <si>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</si>
  <si>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</si>
  <si>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</si>
  <si>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</si>
  <si>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</si>
  <si>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</si>
  <si>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</si>
  <si>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</si>
  <si>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</si>
  <si>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</si>
  <si>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</si>
  <si>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</si>
  <si>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</si>
  <si>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</si>
  <si>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</si>
  <si>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</si>
  <si>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</si>
  <si>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</si>
  <si>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</si>
  <si>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</si>
  <si>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</si>
  <si>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</si>
  <si>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</si>
  <si>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</si>
  <si>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</si>
  <si>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</si>
  <si>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</si>
  <si>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</si>
  <si>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Intake</t>
  </si>
  <si>
    <t xml:space="preserve">E-LL-001-1</t>
  </si>
  <si>
    <t xml:space="preserve">Validation</t>
  </si>
  <si>
    <t xml:space="preserve">E-LL-001-2</t>
  </si>
  <si>
    <t xml:space="preserve">Routing</t>
  </si>
  <si>
    <t xml:space="preserve">E-LL-001-3</t>
  </si>
  <si>
    <t xml:space="preserve">Analysis</t>
  </si>
  <si>
    <t xml:space="preserve">E-LL-001-4</t>
  </si>
  <si>
    <t xml:space="preserve">Deck</t>
  </si>
  <si>
    <t xml:space="preserve">E-LL-001-5</t>
  </si>
  <si>
    <t xml:space="preserve">Approval</t>
  </si>
  <si>
    <t xml:space="preserve">E-LL-001-6</t>
  </si>
  <si>
    <t xml:space="preserve">Delivery Draft</t>
  </si>
  <si>
    <t xml:space="preserve">E-LL-001-7</t>
  </si>
  <si>
    <t xml:space="preserve">E-LL-002-1</t>
  </si>
  <si>
    <t xml:space="preserve">E-LL-002-2</t>
  </si>
  <si>
    <t xml:space="preserve">E-LL-002-3</t>
  </si>
  <si>
    <t xml:space="preserve">E-LL-002-4</t>
  </si>
  <si>
    <t xml:space="preserve">Restricted or incomplete</t>
  </si>
  <si>
    <t xml:space="preserve">E-LL-002-5</t>
  </si>
  <si>
    <t xml:space="preserve">E-LL-002-6</t>
  </si>
  <si>
    <t xml:space="preserve">E-LL-002-7</t>
  </si>
  <si>
    <t xml:space="preserve">E-LL-003-1</t>
  </si>
  <si>
    <t xml:space="preserve">E-LL-003-2</t>
  </si>
  <si>
    <t xml:space="preserve">E-LL-003-3</t>
  </si>
  <si>
    <t xml:space="preserve">E-LL-003-4</t>
  </si>
  <si>
    <t xml:space="preserve">E-LL-003-5</t>
  </si>
  <si>
    <t xml:space="preserve">E-LL-003-6</t>
  </si>
  <si>
    <t xml:space="preserve">E-LL-003-7</t>
  </si>
  <si>
    <t xml:space="preserve">E-LL-004-1</t>
  </si>
  <si>
    <t xml:space="preserve">E-LL-004-2</t>
  </si>
  <si>
    <t xml:space="preserve">E-LL-004-3</t>
  </si>
  <si>
    <t xml:space="preserve">E-LL-004-4</t>
  </si>
  <si>
    <t xml:space="preserve">E-LL-004-5</t>
  </si>
  <si>
    <t xml:space="preserve">E-LL-004-6</t>
  </si>
  <si>
    <t xml:space="preserve">E-LL-004-7</t>
  </si>
  <si>
    <t xml:space="preserve">Decision</t>
  </si>
  <si>
    <t xml:space="preserve">Date</t>
  </si>
  <si>
    <t xml:space="preserve">Conditions</t>
  </si>
  <si>
    <t xml:space="preserve">Approved</t>
  </si>
  <si>
    <t xml:space="preserve">Campaign Director</t>
  </si>
  <si>
    <t xml:space="preserve">Draft delivery only; verify recipients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</si>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</sst>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3" displayName="tblEvidence13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3" displayName="tblPrompt13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47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2"/>
    <col collapsed="false" customWidth="true" hidden="false" outlineLevel="0" max="3" min="3" style="3" width="19"/>
    <col collapsed="false" customWidth="true" hidden="false" outlineLevel="0" max="5" min="4" style="3" width="13"/>
    <col collapsed="false" customWidth="true" hidden="false" outlineLevel="0" max="6" min="6" style="3" width="16"/>
    <col collapsed="false" customWidth="true" hidden="false" outlineLevel="0" max="7" min="7" style="3" width="18"/>
    <col collapsed="false" customWidth="true" hidden="false" outlineLevel="0" max="8" min="8" style="3" width="19"/>
    <col collapsed="false" customWidth="true" hidden="false" outlineLevel="0" max="9" min="9" style="3" width="23"/>
  </cols>
  <sheetData>
    <row r="1" customFormat="false" ht="23.2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12</v>
      </c>
    </row>
    <row r="2" customFormat="false" ht="15" hidden="false" customHeight="true" outlineLevel="0" collapsed="false">
      <c r="A2" s="6" t="s">
        <v>73</v>
      </c>
      <c r="B2" s="6" t="s">
        <v>74</v>
      </c>
      <c r="C2" s="6" t="s">
        <v>75</v>
      </c>
      <c r="D2" s="6" t="s">
        <v>76</v>
      </c>
      <c r="E2" s="12" t="n">
        <v>46300</v>
      </c>
      <c r="F2" s="6" t="s">
        <v>77</v>
      </c>
      <c r="G2" s="6" t="s">
        <v>78</v>
      </c>
      <c r="H2" s="6" t="s">
        <v>79</v>
      </c>
      <c r="I2" s="6" t="s">
        <v>80</v>
      </c>
    </row>
    <row r="3" customFormat="false" ht="15" hidden="false" customHeight="true" outlineLevel="0" collapsed="false">
      <c r="A3" s="10" t="s">
        <v>81</v>
      </c>
      <c r="B3" s="10" t="s">
        <v>82</v>
      </c>
      <c r="C3" s="10" t="s">
        <v>83</v>
      </c>
      <c r="D3" s="10" t="s">
        <v>84</v>
      </c>
      <c r="E3" s="13" t="n">
        <v>46286</v>
      </c>
      <c r="F3" s="10" t="s">
        <v>85</v>
      </c>
      <c r="G3" s="10" t="s">
        <v>78</v>
      </c>
      <c r="H3" s="10" t="s">
        <v>86</v>
      </c>
      <c r="I3" s="10" t="s">
        <v>87</v>
      </c>
    </row>
    <row r="4" customFormat="false" ht="15" hidden="false" customHeight="true" outlineLevel="0" collapsed="false">
      <c r="A4" s="10" t="s">
        <v>88</v>
      </c>
      <c r="B4" s="10" t="s">
        <v>89</v>
      </c>
      <c r="C4" s="10" t="s">
        <v>90</v>
      </c>
      <c r="D4" s="10" t="s">
        <v>91</v>
      </c>
      <c r="E4" s="13" t="n">
        <v>46329</v>
      </c>
      <c r="F4" s="10" t="s">
        <v>77</v>
      </c>
      <c r="G4" s="10" t="s">
        <v>92</v>
      </c>
      <c r="H4" s="10"/>
      <c r="I4" s="10" t="s">
        <v>93</v>
      </c>
    </row>
    <row r="5" customFormat="false" ht="15" hidden="false" customHeight="true" outlineLevel="0" collapsed="false">
      <c r="A5" s="10" t="s">
        <v>94</v>
      </c>
      <c r="B5" s="10" t="s">
        <v>95</v>
      </c>
      <c r="C5" s="10" t="s">
        <v>96</v>
      </c>
      <c r="D5" s="10" t="s">
        <v>76</v>
      </c>
      <c r="E5" s="13" t="n">
        <v>46313</v>
      </c>
      <c r="F5" s="10" t="s">
        <v>77</v>
      </c>
      <c r="G5" s="10" t="s">
        <v>78</v>
      </c>
      <c r="H5" s="10" t="s">
        <v>97</v>
      </c>
      <c r="I5" s="10" t="s">
        <v>80</v>
      </c>
    </row>
    <row r="6" customFormat="false" ht="15" hidden="false" customHeight="true" outlineLevel="0" collapsed="false">
      <c r="A6" s="10" t="s">
        <v>98</v>
      </c>
      <c r="B6" s="10" t="s">
        <v>74</v>
      </c>
      <c r="C6" s="10" t="s">
        <v>99</v>
      </c>
      <c r="D6" s="10" t="s">
        <v>76</v>
      </c>
      <c r="E6" s="13" t="n">
        <v>46300</v>
      </c>
      <c r="F6" s="10" t="s">
        <v>77</v>
      </c>
      <c r="G6" s="10" t="s">
        <v>78</v>
      </c>
      <c r="H6" s="10" t="s">
        <v>79</v>
      </c>
      <c r="I6" s="10" t="s">
        <v>100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6"/>
    <col collapsed="false" customWidth="true" hidden="false" outlineLevel="0" max="4" min="3" style="3" width="11"/>
    <col collapsed="false" customWidth="true" hidden="false" outlineLevel="0" max="6" min="5" style="3" width="12"/>
    <col collapsed="false" customWidth="true" hidden="false" outlineLevel="0" max="7" min="7" style="3" width="26"/>
  </cols>
  <sheetData>
    <row r="1" customFormat="false" ht="23.25" hidden="false" customHeight="true" outlineLevel="0" collapsed="false">
      <c r="A1" s="9" t="s">
        <v>65</v>
      </c>
      <c r="B1" s="9" t="s">
        <v>101</v>
      </c>
      <c r="C1" s="9" t="s">
        <v>50</v>
      </c>
      <c r="D1" s="9" t="s">
        <v>12</v>
      </c>
      <c r="E1" s="9" t="s">
        <v>102</v>
      </c>
      <c r="F1" s="9" t="s">
        <v>62</v>
      </c>
      <c r="G1" s="9" t="s">
        <v>93</v>
      </c>
    </row>
    <row r="2" customFormat="false" ht="15" hidden="false" customHeight="true" outlineLevel="0" collapsed="false">
      <c r="A2" s="6" t="s">
        <v>73</v>
      </c>
      <c r="B2" s="6" t="s">
        <v>103</v>
      </c>
      <c r="C2" s="6" t="s">
        <v>44</v>
      </c>
      <c r="D2" s="6" t="s">
        <v>78</v>
      </c>
      <c r="E2" s="12" t="n">
        <v>46249</v>
      </c>
      <c r="F2" s="6" t="s">
        <v>104</v>
      </c>
      <c r="G2" s="6"/>
    </row>
    <row r="3" customFormat="false" ht="15" hidden="false" customHeight="true" outlineLevel="0" collapsed="false">
      <c r="A3" s="10" t="s">
        <v>73</v>
      </c>
      <c r="B3" s="10" t="s">
        <v>105</v>
      </c>
      <c r="C3" s="10" t="s">
        <v>44</v>
      </c>
      <c r="D3" s="10" t="s">
        <v>78</v>
      </c>
      <c r="E3" s="13" t="n">
        <v>46249</v>
      </c>
      <c r="F3" s="10" t="s">
        <v>106</v>
      </c>
      <c r="G3" s="10"/>
    </row>
    <row r="4" customFormat="false" ht="15" hidden="false" customHeight="true" outlineLevel="0" collapsed="false">
      <c r="A4" s="10" t="s">
        <v>73</v>
      </c>
      <c r="B4" s="10" t="s">
        <v>107</v>
      </c>
      <c r="C4" s="10" t="s">
        <v>44</v>
      </c>
      <c r="D4" s="10" t="s">
        <v>78</v>
      </c>
      <c r="E4" s="13" t="n">
        <v>46249</v>
      </c>
      <c r="F4" s="10" t="s">
        <v>108</v>
      </c>
      <c r="G4" s="10"/>
    </row>
    <row r="5" customFormat="false" ht="15" hidden="false" customHeight="true" outlineLevel="0" collapsed="false">
      <c r="A5" s="10" t="s">
        <v>73</v>
      </c>
      <c r="B5" s="10" t="s">
        <v>109</v>
      </c>
      <c r="C5" s="10" t="s">
        <v>44</v>
      </c>
      <c r="D5" s="10" t="s">
        <v>78</v>
      </c>
      <c r="E5" s="13" t="n">
        <v>46249</v>
      </c>
      <c r="F5" s="10" t="s">
        <v>110</v>
      </c>
      <c r="G5" s="10"/>
    </row>
    <row r="6" customFormat="false" ht="15" hidden="false" customHeight="true" outlineLevel="0" collapsed="false">
      <c r="A6" s="10" t="s">
        <v>73</v>
      </c>
      <c r="B6" s="10" t="s">
        <v>111</v>
      </c>
      <c r="C6" s="10" t="s">
        <v>39</v>
      </c>
      <c r="D6" s="10" t="s">
        <v>78</v>
      </c>
      <c r="E6" s="13" t="n">
        <v>46249</v>
      </c>
      <c r="F6" s="10" t="s">
        <v>112</v>
      </c>
      <c r="G6" s="10"/>
    </row>
    <row r="7" customFormat="false" ht="15" hidden="false" customHeight="true" outlineLevel="0" collapsed="false">
      <c r="A7" s="10" t="s">
        <v>73</v>
      </c>
      <c r="B7" s="10" t="s">
        <v>113</v>
      </c>
      <c r="C7" s="10" t="s">
        <v>39</v>
      </c>
      <c r="D7" s="10" t="s">
        <v>78</v>
      </c>
      <c r="E7" s="13" t="n">
        <v>46249</v>
      </c>
      <c r="F7" s="10" t="s">
        <v>114</v>
      </c>
      <c r="G7" s="10"/>
    </row>
    <row r="8" customFormat="false" ht="15" hidden="false" customHeight="true" outlineLevel="0" collapsed="false">
      <c r="A8" s="10" t="s">
        <v>73</v>
      </c>
      <c r="B8" s="10" t="s">
        <v>115</v>
      </c>
      <c r="C8" s="10" t="s">
        <v>39</v>
      </c>
      <c r="D8" s="10" t="s">
        <v>78</v>
      </c>
      <c r="E8" s="13" t="n">
        <v>46249</v>
      </c>
      <c r="F8" s="10" t="s">
        <v>116</v>
      </c>
      <c r="G8" s="10"/>
    </row>
    <row r="9" customFormat="false" ht="15" hidden="false" customHeight="true" outlineLevel="0" collapsed="false">
      <c r="A9" s="10" t="s">
        <v>81</v>
      </c>
      <c r="B9" s="10" t="s">
        <v>103</v>
      </c>
      <c r="C9" s="10" t="s">
        <v>44</v>
      </c>
      <c r="D9" s="10" t="s">
        <v>78</v>
      </c>
      <c r="E9" s="13" t="n">
        <v>46249</v>
      </c>
      <c r="F9" s="10" t="s">
        <v>117</v>
      </c>
      <c r="G9" s="10"/>
    </row>
    <row r="10" customFormat="false" ht="15" hidden="false" customHeight="true" outlineLevel="0" collapsed="false">
      <c r="A10" s="10" t="s">
        <v>81</v>
      </c>
      <c r="B10" s="10" t="s">
        <v>105</v>
      </c>
      <c r="C10" s="10" t="s">
        <v>44</v>
      </c>
      <c r="D10" s="10" t="s">
        <v>78</v>
      </c>
      <c r="E10" s="13" t="n">
        <v>46249</v>
      </c>
      <c r="F10" s="10" t="s">
        <v>118</v>
      </c>
      <c r="G10" s="10"/>
    </row>
    <row r="11" customFormat="false" ht="15" hidden="false" customHeight="true" outlineLevel="0" collapsed="false">
      <c r="A11" s="10" t="s">
        <v>81</v>
      </c>
      <c r="B11" s="10" t="s">
        <v>107</v>
      </c>
      <c r="C11" s="10" t="s">
        <v>44</v>
      </c>
      <c r="D11" s="10" t="s">
        <v>78</v>
      </c>
      <c r="E11" s="13" t="n">
        <v>46249</v>
      </c>
      <c r="F11" s="10" t="s">
        <v>119</v>
      </c>
      <c r="G11" s="10"/>
    </row>
    <row r="12" customFormat="false" ht="15" hidden="false" customHeight="true" outlineLevel="0" collapsed="false">
      <c r="A12" s="10" t="s">
        <v>81</v>
      </c>
      <c r="B12" s="10" t="s">
        <v>109</v>
      </c>
      <c r="C12" s="10" t="s">
        <v>44</v>
      </c>
      <c r="D12" s="10" t="s">
        <v>93</v>
      </c>
      <c r="E12" s="13" t="n">
        <v>46249</v>
      </c>
      <c r="F12" s="10" t="s">
        <v>120</v>
      </c>
      <c r="G12" s="10" t="s">
        <v>121</v>
      </c>
    </row>
    <row r="13" customFormat="false" ht="15" hidden="false" customHeight="true" outlineLevel="0" collapsed="false">
      <c r="A13" s="10" t="s">
        <v>81</v>
      </c>
      <c r="B13" s="10" t="s">
        <v>111</v>
      </c>
      <c r="C13" s="10" t="s">
        <v>39</v>
      </c>
      <c r="D13" s="10" t="s">
        <v>93</v>
      </c>
      <c r="E13" s="13" t="n">
        <v>46249</v>
      </c>
      <c r="F13" s="10" t="s">
        <v>122</v>
      </c>
      <c r="G13" s="10" t="s">
        <v>121</v>
      </c>
    </row>
    <row r="14" customFormat="false" ht="15" hidden="false" customHeight="true" outlineLevel="0" collapsed="false">
      <c r="A14" s="10" t="s">
        <v>81</v>
      </c>
      <c r="B14" s="10" t="s">
        <v>113</v>
      </c>
      <c r="C14" s="10" t="s">
        <v>39</v>
      </c>
      <c r="D14" s="10" t="s">
        <v>93</v>
      </c>
      <c r="E14" s="13" t="n">
        <v>46249</v>
      </c>
      <c r="F14" s="10" t="s">
        <v>123</v>
      </c>
      <c r="G14" s="10" t="s">
        <v>121</v>
      </c>
    </row>
    <row r="15" customFormat="false" ht="15" hidden="false" customHeight="true" outlineLevel="0" collapsed="false">
      <c r="A15" s="10" t="s">
        <v>81</v>
      </c>
      <c r="B15" s="10" t="s">
        <v>115</v>
      </c>
      <c r="C15" s="10" t="s">
        <v>39</v>
      </c>
      <c r="D15" s="10" t="s">
        <v>93</v>
      </c>
      <c r="E15" s="13" t="n">
        <v>46249</v>
      </c>
      <c r="F15" s="10" t="s">
        <v>124</v>
      </c>
      <c r="G15" s="10" t="s">
        <v>121</v>
      </c>
    </row>
    <row r="16" customFormat="false" ht="15" hidden="false" customHeight="true" outlineLevel="0" collapsed="false">
      <c r="A16" s="10" t="s">
        <v>88</v>
      </c>
      <c r="B16" s="10" t="s">
        <v>103</v>
      </c>
      <c r="C16" s="10" t="s">
        <v>44</v>
      </c>
      <c r="D16" s="10" t="s">
        <v>78</v>
      </c>
      <c r="E16" s="13" t="n">
        <v>46249</v>
      </c>
      <c r="F16" s="10" t="s">
        <v>125</v>
      </c>
      <c r="G16" s="10"/>
    </row>
    <row r="17" customFormat="false" ht="15" hidden="false" customHeight="true" outlineLevel="0" collapsed="false">
      <c r="A17" s="10" t="s">
        <v>88</v>
      </c>
      <c r="B17" s="10" t="s">
        <v>105</v>
      </c>
      <c r="C17" s="10" t="s">
        <v>44</v>
      </c>
      <c r="D17" s="10" t="s">
        <v>78</v>
      </c>
      <c r="E17" s="13" t="n">
        <v>46249</v>
      </c>
      <c r="F17" s="10" t="s">
        <v>126</v>
      </c>
      <c r="G17" s="10"/>
    </row>
    <row r="18" customFormat="false" ht="15" hidden="false" customHeight="true" outlineLevel="0" collapsed="false">
      <c r="A18" s="10" t="s">
        <v>88</v>
      </c>
      <c r="B18" s="10" t="s">
        <v>107</v>
      </c>
      <c r="C18" s="10" t="s">
        <v>44</v>
      </c>
      <c r="D18" s="10" t="s">
        <v>78</v>
      </c>
      <c r="E18" s="13" t="n">
        <v>46249</v>
      </c>
      <c r="F18" s="10" t="s">
        <v>127</v>
      </c>
      <c r="G18" s="10"/>
    </row>
    <row r="19" customFormat="false" ht="15" hidden="false" customHeight="true" outlineLevel="0" collapsed="false">
      <c r="A19" s="10" t="s">
        <v>88</v>
      </c>
      <c r="B19" s="10" t="s">
        <v>109</v>
      </c>
      <c r="C19" s="10" t="s">
        <v>44</v>
      </c>
      <c r="D19" s="10" t="s">
        <v>93</v>
      </c>
      <c r="E19" s="13" t="n">
        <v>46249</v>
      </c>
      <c r="F19" s="10" t="s">
        <v>128</v>
      </c>
      <c r="G19" s="10" t="s">
        <v>121</v>
      </c>
    </row>
    <row r="20" customFormat="false" ht="15" hidden="false" customHeight="true" outlineLevel="0" collapsed="false">
      <c r="A20" s="10" t="s">
        <v>88</v>
      </c>
      <c r="B20" s="10" t="s">
        <v>111</v>
      </c>
      <c r="C20" s="10" t="s">
        <v>39</v>
      </c>
      <c r="D20" s="10" t="s">
        <v>93</v>
      </c>
      <c r="E20" s="13" t="n">
        <v>46249</v>
      </c>
      <c r="F20" s="10" t="s">
        <v>129</v>
      </c>
      <c r="G20" s="10" t="s">
        <v>121</v>
      </c>
    </row>
    <row r="21" customFormat="false" ht="15" hidden="false" customHeight="true" outlineLevel="0" collapsed="false">
      <c r="A21" s="10" t="s">
        <v>88</v>
      </c>
      <c r="B21" s="10" t="s">
        <v>113</v>
      </c>
      <c r="C21" s="10" t="s">
        <v>39</v>
      </c>
      <c r="D21" s="10" t="s">
        <v>93</v>
      </c>
      <c r="E21" s="13" t="n">
        <v>46249</v>
      </c>
      <c r="F21" s="10" t="s">
        <v>130</v>
      </c>
      <c r="G21" s="10" t="s">
        <v>121</v>
      </c>
    </row>
    <row r="22" customFormat="false" ht="15" hidden="false" customHeight="true" outlineLevel="0" collapsed="false">
      <c r="A22" s="10" t="s">
        <v>88</v>
      </c>
      <c r="B22" s="10" t="s">
        <v>115</v>
      </c>
      <c r="C22" s="10" t="s">
        <v>39</v>
      </c>
      <c r="D22" s="10" t="s">
        <v>93</v>
      </c>
      <c r="E22" s="13" t="n">
        <v>46249</v>
      </c>
      <c r="F22" s="10" t="s">
        <v>131</v>
      </c>
      <c r="G22" s="10" t="s">
        <v>121</v>
      </c>
    </row>
    <row r="23" customFormat="false" ht="15" hidden="false" customHeight="true" outlineLevel="0" collapsed="false">
      <c r="A23" s="10" t="s">
        <v>94</v>
      </c>
      <c r="B23" s="10" t="s">
        <v>103</v>
      </c>
      <c r="C23" s="10" t="s">
        <v>44</v>
      </c>
      <c r="D23" s="10" t="s">
        <v>78</v>
      </c>
      <c r="E23" s="13" t="n">
        <v>46249</v>
      </c>
      <c r="F23" s="10" t="s">
        <v>132</v>
      </c>
      <c r="G23" s="10"/>
    </row>
    <row r="24" customFormat="false" ht="15" hidden="false" customHeight="true" outlineLevel="0" collapsed="false">
      <c r="A24" s="10" t="s">
        <v>94</v>
      </c>
      <c r="B24" s="10" t="s">
        <v>105</v>
      </c>
      <c r="C24" s="10" t="s">
        <v>44</v>
      </c>
      <c r="D24" s="10" t="s">
        <v>78</v>
      </c>
      <c r="E24" s="13" t="n">
        <v>46249</v>
      </c>
      <c r="F24" s="10" t="s">
        <v>133</v>
      </c>
      <c r="G24" s="10"/>
    </row>
    <row r="25" customFormat="false" ht="15" hidden="false" customHeight="true" outlineLevel="0" collapsed="false">
      <c r="A25" s="10" t="s">
        <v>94</v>
      </c>
      <c r="B25" s="10" t="s">
        <v>107</v>
      </c>
      <c r="C25" s="10" t="s">
        <v>44</v>
      </c>
      <c r="D25" s="10" t="s">
        <v>78</v>
      </c>
      <c r="E25" s="13" t="n">
        <v>46249</v>
      </c>
      <c r="F25" s="10" t="s">
        <v>134</v>
      </c>
      <c r="G25" s="10"/>
    </row>
    <row r="26" customFormat="false" ht="15" hidden="false" customHeight="true" outlineLevel="0" collapsed="false">
      <c r="A26" s="10" t="s">
        <v>94</v>
      </c>
      <c r="B26" s="10" t="s">
        <v>109</v>
      </c>
      <c r="C26" s="10" t="s">
        <v>44</v>
      </c>
      <c r="D26" s="10" t="s">
        <v>78</v>
      </c>
      <c r="E26" s="13" t="n">
        <v>46249</v>
      </c>
      <c r="F26" s="10" t="s">
        <v>135</v>
      </c>
      <c r="G26" s="10"/>
    </row>
    <row r="27" customFormat="false" ht="15" hidden="false" customHeight="true" outlineLevel="0" collapsed="false">
      <c r="A27" s="10" t="s">
        <v>94</v>
      </c>
      <c r="B27" s="10" t="s">
        <v>111</v>
      </c>
      <c r="C27" s="10" t="s">
        <v>39</v>
      </c>
      <c r="D27" s="10" t="s">
        <v>78</v>
      </c>
      <c r="E27" s="13" t="n">
        <v>46249</v>
      </c>
      <c r="F27" s="10" t="s">
        <v>136</v>
      </c>
      <c r="G27" s="10"/>
    </row>
    <row r="28" customFormat="false" ht="15" hidden="false" customHeight="true" outlineLevel="0" collapsed="false">
      <c r="A28" s="10" t="s">
        <v>94</v>
      </c>
      <c r="B28" s="10" t="s">
        <v>113</v>
      </c>
      <c r="C28" s="10" t="s">
        <v>39</v>
      </c>
      <c r="D28" s="10" t="s">
        <v>78</v>
      </c>
      <c r="E28" s="13" t="n">
        <v>46249</v>
      </c>
      <c r="F28" s="10" t="s">
        <v>137</v>
      </c>
      <c r="G28" s="10"/>
    </row>
    <row r="29" customFormat="false" ht="15" hidden="false" customHeight="true" outlineLevel="0" collapsed="false">
      <c r="A29" s="10" t="s">
        <v>94</v>
      </c>
      <c r="B29" s="10" t="s">
        <v>115</v>
      </c>
      <c r="C29" s="10" t="s">
        <v>39</v>
      </c>
      <c r="D29" s="10" t="s">
        <v>78</v>
      </c>
      <c r="E29" s="13" t="n">
        <v>46249</v>
      </c>
      <c r="F29" s="10" t="s">
        <v>138</v>
      </c>
      <c r="G29" s="10"/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1"/>
    <col collapsed="false" customWidth="true" hidden="false" outlineLevel="0" max="3" min="3" style="3" width="19"/>
    <col collapsed="false" customWidth="true" hidden="false" outlineLevel="0" max="4" min="4" style="3" width="12"/>
    <col collapsed="false" customWidth="true" hidden="false" outlineLevel="0" max="5" min="5" style="3" width="34"/>
  </cols>
  <sheetData>
    <row r="1" customFormat="false" ht="23.25" hidden="false" customHeight="true" outlineLevel="0" collapsed="false">
      <c r="A1" s="9" t="s">
        <v>65</v>
      </c>
      <c r="B1" s="9" t="s">
        <v>139</v>
      </c>
      <c r="C1" s="9" t="s">
        <v>39</v>
      </c>
      <c r="D1" s="9" t="s">
        <v>140</v>
      </c>
      <c r="E1" s="9" t="s">
        <v>141</v>
      </c>
    </row>
    <row r="2" customFormat="false" ht="15" hidden="false" customHeight="true" outlineLevel="0" collapsed="false">
      <c r="A2" s="6" t="s">
        <v>73</v>
      </c>
      <c r="B2" s="6" t="s">
        <v>142</v>
      </c>
      <c r="C2" s="6" t="s">
        <v>143</v>
      </c>
      <c r="D2" s="12" t="n">
        <v>46249</v>
      </c>
      <c r="E2" s="6" t="s">
        <v>144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7"/>
    <col collapsed="false" customWidth="true" hidden="false" outlineLevel="0" max="2" min="2" style="3" width="34"/>
    <col collapsed="false" customWidth="true" hidden="false" outlineLevel="0" max="4" min="3" style="3" width="11"/>
    <col collapsed="false" customWidth="true" hidden="false" outlineLevel="0" max="5" min="5" style="3" width="29"/>
  </cols>
  <sheetData>
    <row r="1" customFormat="false" ht="15" hidden="false" customHeight="true" outlineLevel="0" collapsed="false">
      <c r="A1" s="9" t="s">
        <v>145</v>
      </c>
      <c r="B1" s="9" t="s">
        <v>146</v>
      </c>
      <c r="C1" s="9" t="s">
        <v>49</v>
      </c>
      <c r="D1" s="9" t="s">
        <v>147</v>
      </c>
      <c r="E1" s="9" t="s">
        <v>12</v>
      </c>
    </row>
    <row r="2" customFormat="false" ht="15" hidden="false" customHeight="true" outlineLevel="0" collapsed="false">
      <c r="A2" s="6" t="s">
        <v>148</v>
      </c>
      <c r="B2" s="6" t="n">
        <f aca="false">COUNTIF(Pipeline_Control!D:D,"Complete")</f>
        <v>20</v>
      </c>
      <c r="C2" s="6" t="n">
        <f aca="false">B2</f>
        <v>20</v>
      </c>
      <c r="D2" s="6" t="n">
        <v>14</v>
      </c>
      <c r="E2" s="6" t="str">
        <f aca="false">IF(C2&lt;=D2,"PASS","REVIEW")</f>
        <v>REVIEW</v>
      </c>
    </row>
    <row r="3" customFormat="false" ht="15" hidden="false" customHeight="true" outlineLevel="0" collapsed="false">
      <c r="A3" s="10" t="s">
        <v>149</v>
      </c>
      <c r="B3" s="10" t="n">
        <f aca="false">COUNTIF(Pipeline_Control!D:D,"Exception")/MAX(1,COUNTA(Pipeline_Control!D:D)-1)</f>
        <v>0.285714285714286</v>
      </c>
      <c r="C3" s="10" t="n">
        <f aca="false">B3</f>
        <v>0.285714285714286</v>
      </c>
      <c r="D3" s="10" t="n">
        <v>0.2</v>
      </c>
      <c r="E3" s="10" t="str">
        <f aca="false">IF(C3&lt;=D3,"PASS","REVIEW")</f>
        <v>REVIEW</v>
      </c>
    </row>
    <row r="4" customFormat="false" ht="15" hidden="false" customHeight="true" outlineLevel="0" collapsed="false">
      <c r="A4" s="10" t="s">
        <v>150</v>
      </c>
      <c r="B4" s="10" t="n">
        <f aca="false">COUNTIF(Approval_Log!B:B,"Returned")</f>
        <v>0</v>
      </c>
      <c r="C4" s="10" t="n">
        <f aca="false">B4</f>
        <v>0</v>
      </c>
      <c r="D4" s="10" t="n">
        <v>1</v>
      </c>
      <c r="E4" s="10" t="str">
        <f aca="false">IF(C4&lt;=D4,"PASS","REVIEW")</f>
        <v>PASS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